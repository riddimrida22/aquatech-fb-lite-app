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8"/>
  <workbookPr/>
  <mc:AlternateContent xmlns:mc="http://schemas.openxmlformats.org/markup-compatibility/2006">
    <mc:Choice Requires="x15">
      <x15ac:absPath xmlns:x15ac="http://schemas.microsoft.com/office/spreadsheetml/2010/11/ac" url="/Users/ailsagilliam/Library/CloudStorage/GoogleDrive-ailsa.welch@aquatechpc.com/Shared drives/Aquatech_Admin/Invoicing/Brown and Caldwell/June 2026/"/>
    </mc:Choice>
  </mc:AlternateContent>
  <xr:revisionPtr revIDLastSave="0" documentId="13_ncr:1_{8CE3ABD6-B051-5743-B76D-9F41D90A3D47}" xr6:coauthVersionLast="47" xr6:coauthVersionMax="47" xr10:uidLastSave="{00000000-0000-0000-0000-000000000000}"/>
  <bookViews>
    <workbookView xWindow="0" yWindow="660" windowWidth="29400" windowHeight="17260" tabRatio="830" activeTab="1" xr2:uid="{00000000-000D-0000-FFFF-FFFF00000000}"/>
  </bookViews>
  <sheets>
    <sheet name="0-Instructions" sheetId="4" r:id="rId1"/>
    <sheet name="1-Invoice Cover Sheet" sheetId="7" r:id="rId2"/>
    <sheet name="Sheet1" sheetId="10" r:id="rId3"/>
    <sheet name="Previous" sheetId="9" r:id="rId4"/>
    <sheet name="2-Work Summary" sheetId="2" r:id="rId5"/>
    <sheet name="3-Summary Billing Report" sheetId="1" r:id="rId6"/>
    <sheet name="4a-Labor Summary" sheetId="3" r:id="rId7"/>
    <sheet name="4b-Mileage Log" sheetId="8" r:id="rId8"/>
    <sheet name="5-Lump Sum Deliverable" sheetId="5" state="hidden" r:id="rId9"/>
  </sheets>
  <definedNames>
    <definedName name="_xlnm.Print_Area" localSheetId="0">'0-Instructions'!$A$1:$M$48</definedName>
    <definedName name="_xlnm.Print_Area" localSheetId="4">'2-Work Summary'!$A$1:$F$35</definedName>
    <definedName name="_xlnm.Print_Area" localSheetId="5">'3-Summary Billing Report'!$A$1:$J$65</definedName>
    <definedName name="_xlnm.Print_Area" localSheetId="6">'4a-Labor Summary'!$A$1:$E$34</definedName>
    <definedName name="_xlnm.Print_Area" localSheetId="7">'4b-Mileage Log'!$A$1:$K$32</definedName>
    <definedName name="_xlnm.Print_Area" localSheetId="8">'5-Lump Sum Deliverable'!$B$1:$F$32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4" i="3" l="1"/>
  <c r="E34" i="3"/>
  <c r="E33" i="3"/>
  <c r="E32" i="3"/>
  <c r="B27" i="7"/>
  <c r="G6" i="9"/>
  <c r="H6" i="9"/>
  <c r="I6" i="9"/>
  <c r="J3" i="9"/>
  <c r="J4" i="9"/>
  <c r="J5" i="9"/>
  <c r="J6" i="9"/>
  <c r="J2" i="9"/>
  <c r="F6" i="9"/>
  <c r="A4" i="7"/>
  <c r="F6" i="7" l="1"/>
  <c r="C23" i="1" l="1"/>
  <c r="E24" i="3"/>
  <c r="E27" i="3" s="1"/>
  <c r="B8" i="3"/>
  <c r="C9" i="2"/>
  <c r="B9" i="3" s="1"/>
  <c r="B26" i="7"/>
  <c r="B63" i="7" s="1"/>
  <c r="E26" i="7"/>
  <c r="G37" i="1" s="1"/>
  <c r="D37" i="1" l="1"/>
  <c r="D43" i="1" s="1"/>
  <c r="H36" i="1"/>
  <c r="H38" i="1"/>
  <c r="H39" i="1"/>
  <c r="H40" i="1"/>
  <c r="H41" i="1"/>
  <c r="I38" i="1"/>
  <c r="J38" i="1"/>
  <c r="I39" i="1"/>
  <c r="J39" i="1"/>
  <c r="I40" i="1"/>
  <c r="J40" i="1"/>
  <c r="I41" i="1"/>
  <c r="J41" i="1"/>
  <c r="I42" i="1"/>
  <c r="I36" i="1"/>
  <c r="D55" i="7"/>
  <c r="F55" i="7" s="1"/>
  <c r="D54" i="7"/>
  <c r="F54" i="7" s="1"/>
  <c r="D53" i="7"/>
  <c r="F53" i="7" s="1"/>
  <c r="E52" i="7"/>
  <c r="D50" i="7"/>
  <c r="F50" i="7" s="1"/>
  <c r="D49" i="7"/>
  <c r="F49" i="7" s="1"/>
  <c r="D48" i="7"/>
  <c r="F48" i="7" s="1"/>
  <c r="E47" i="7"/>
  <c r="D45" i="7"/>
  <c r="F45" i="7" s="1"/>
  <c r="D44" i="7"/>
  <c r="F44" i="7" s="1"/>
  <c r="D43" i="7"/>
  <c r="F43" i="7" s="1"/>
  <c r="E42" i="7"/>
  <c r="D61" i="7"/>
  <c r="F61" i="7" s="1"/>
  <c r="D60" i="7"/>
  <c r="F60" i="7" s="1"/>
  <c r="D59" i="7"/>
  <c r="F59" i="7" s="1"/>
  <c r="D58" i="7"/>
  <c r="F58" i="7" s="1"/>
  <c r="E57" i="7"/>
  <c r="D40" i="7"/>
  <c r="F40" i="7" s="1"/>
  <c r="D39" i="7"/>
  <c r="F39" i="7" s="1"/>
  <c r="D38" i="7"/>
  <c r="F38" i="7" s="1"/>
  <c r="E37" i="7"/>
  <c r="D35" i="7"/>
  <c r="F35" i="7" s="1"/>
  <c r="D34" i="7"/>
  <c r="F34" i="7" s="1"/>
  <c r="D33" i="7"/>
  <c r="F33" i="7" s="1"/>
  <c r="D32" i="7"/>
  <c r="F32" i="7" s="1"/>
  <c r="D31" i="7"/>
  <c r="F31" i="7" s="1"/>
  <c r="D30" i="7"/>
  <c r="F30" i="7" s="1"/>
  <c r="D29" i="7"/>
  <c r="F29" i="7" s="1"/>
  <c r="D28" i="7"/>
  <c r="D24" i="7"/>
  <c r="F24" i="7" s="1"/>
  <c r="D23" i="7"/>
  <c r="F23" i="7" s="1"/>
  <c r="D22" i="7"/>
  <c r="E21" i="7"/>
  <c r="E63" i="7" l="1"/>
  <c r="F28" i="7"/>
  <c r="F22" i="7"/>
  <c r="B17" i="7" l="1"/>
  <c r="C6" i="5" l="1"/>
  <c r="C5" i="5"/>
  <c r="C4" i="5"/>
  <c r="C3" i="5"/>
  <c r="C2" i="5"/>
  <c r="B4" i="8"/>
  <c r="B7" i="3"/>
  <c r="B6" i="3"/>
  <c r="B5" i="3"/>
  <c r="B3" i="3"/>
  <c r="B4" i="3"/>
  <c r="B2" i="3"/>
  <c r="C21" i="1"/>
  <c r="C22" i="1"/>
  <c r="I21" i="1" l="1"/>
  <c r="E14" i="3"/>
  <c r="E15" i="3"/>
  <c r="E16" i="3"/>
  <c r="E17" i="3"/>
  <c r="E18" i="3"/>
  <c r="E19" i="3" l="1"/>
  <c r="E22" i="3" s="1"/>
  <c r="J23" i="8"/>
  <c r="K23" i="8"/>
  <c r="G15" i="8"/>
  <c r="I15" i="8" s="1"/>
  <c r="G16" i="8"/>
  <c r="I16" i="8" s="1"/>
  <c r="G17" i="8"/>
  <c r="I17" i="8" s="1"/>
  <c r="G18" i="8"/>
  <c r="I18" i="8" s="1"/>
  <c r="G19" i="8"/>
  <c r="I19" i="8" s="1"/>
  <c r="G20" i="8"/>
  <c r="I20" i="8" s="1"/>
  <c r="G13" i="8"/>
  <c r="I13" i="8" s="1"/>
  <c r="G14" i="8"/>
  <c r="I14" i="8" s="1"/>
  <c r="G12" i="8"/>
  <c r="I12" i="8" s="1"/>
  <c r="G11" i="8"/>
  <c r="I11" i="8" s="1"/>
  <c r="E23" i="3" l="1"/>
  <c r="E28" i="3" s="1"/>
  <c r="I23" i="8"/>
  <c r="I25" i="8" s="1"/>
  <c r="D19" i="3" l="1"/>
  <c r="J36" i="1" l="1"/>
  <c r="G43" i="1"/>
  <c r="G47" i="1" s="1"/>
  <c r="D47" i="1"/>
  <c r="F42" i="1"/>
  <c r="J42" i="1" l="1"/>
  <c r="H42" i="1"/>
  <c r="E31" i="3" l="1"/>
  <c r="C26" i="7" l="1"/>
  <c r="D27" i="7"/>
  <c r="F27" i="7" l="1"/>
  <c r="F26" i="7" s="1"/>
  <c r="F63" i="7" s="1"/>
  <c r="D26" i="7"/>
  <c r="E37" i="1"/>
  <c r="C63" i="7"/>
  <c r="E43" i="1" l="1"/>
  <c r="I37" i="1"/>
  <c r="D63" i="7"/>
  <c r="F37" i="1"/>
  <c r="H37" i="1" l="1"/>
  <c r="H43" i="1" s="1"/>
  <c r="H47" i="1" s="1"/>
  <c r="J37" i="1"/>
  <c r="F43" i="1"/>
  <c r="I43" i="1"/>
  <c r="I47" i="1" s="1"/>
  <c r="E47" i="1"/>
  <c r="E29" i="1" s="1"/>
  <c r="F47" i="1" l="1"/>
  <c r="J43" i="1"/>
  <c r="J47" i="1" s="1"/>
</calcChain>
</file>

<file path=xl/sharedStrings.xml><?xml version="1.0" encoding="utf-8"?>
<sst xmlns="http://schemas.openxmlformats.org/spreadsheetml/2006/main" count="432" uniqueCount="250">
  <si>
    <t>Date:</t>
  </si>
  <si>
    <t>Attention:</t>
  </si>
  <si>
    <t/>
  </si>
  <si>
    <t>Contract Registration No.:</t>
  </si>
  <si>
    <t>Invoice No.:</t>
  </si>
  <si>
    <t>For Professional Engineering Services</t>
  </si>
  <si>
    <t xml:space="preserve">    For the invoice period of </t>
  </si>
  <si>
    <t xml:space="preserve">to </t>
  </si>
  <si>
    <t>This Invoice:</t>
  </si>
  <si>
    <t>Total Billed</t>
  </si>
  <si>
    <t>This</t>
  </si>
  <si>
    <t>Balance</t>
  </si>
  <si>
    <t>% Completed</t>
  </si>
  <si>
    <t>% Complete</t>
  </si>
  <si>
    <t>Contract Summary By Task</t>
  </si>
  <si>
    <t>Previously</t>
  </si>
  <si>
    <t>Invoice</t>
  </si>
  <si>
    <t>To Date</t>
  </si>
  <si>
    <t>Maximum</t>
  </si>
  <si>
    <t>Remaining</t>
  </si>
  <si>
    <t>This Payment</t>
  </si>
  <si>
    <t>to Date</t>
  </si>
  <si>
    <t xml:space="preserve">Total </t>
  </si>
  <si>
    <t>I hereby certify that all labor charges in this invoice are legally and legitimately charged to this Contract in accordance</t>
  </si>
  <si>
    <t>with the terms and conditions of the Contract.</t>
  </si>
  <si>
    <t>Date</t>
  </si>
  <si>
    <t>NYPayables</t>
  </si>
  <si>
    <t>Brown and Caldwell</t>
  </si>
  <si>
    <t>1350 Broadway</t>
  </si>
  <si>
    <t>Suite 2000</t>
  </si>
  <si>
    <t>New York, NY 10018</t>
  </si>
  <si>
    <t>Subcontract</t>
  </si>
  <si>
    <t>Subcontractor Task Manager</t>
  </si>
  <si>
    <t>BC Deputy Task Manager</t>
  </si>
  <si>
    <t>Contract Name:</t>
  </si>
  <si>
    <t>PIN:</t>
  </si>
  <si>
    <t>Contract Reg. No.:</t>
  </si>
  <si>
    <t>Assignment:</t>
  </si>
  <si>
    <t>Invoice Period:</t>
  </si>
  <si>
    <t xml:space="preserve">Firm: </t>
  </si>
  <si>
    <t>Labor Summary</t>
  </si>
  <si>
    <t>Name</t>
  </si>
  <si>
    <t>Position</t>
  </si>
  <si>
    <t>Hourly Rate</t>
  </si>
  <si>
    <t>Hours Billed</t>
  </si>
  <si>
    <t>Total Direct Labor</t>
  </si>
  <si>
    <t>TOTALS</t>
  </si>
  <si>
    <t>TOTAL OVERHEAD (DIRECT LABOR X OVERHEAD RATE)</t>
  </si>
  <si>
    <t>SUBTOTAL</t>
  </si>
  <si>
    <t>TOTAL LABOR COST THIS INVOICE (FEE PLUS SUBTOTAL</t>
  </si>
  <si>
    <t>Lump Sum Billing</t>
  </si>
  <si>
    <t>ODCs</t>
  </si>
  <si>
    <t>GRAND TOTAL</t>
  </si>
  <si>
    <t>Work Summary</t>
  </si>
  <si>
    <t>BC PO No.:</t>
  </si>
  <si>
    <t>Subcontractor Project No.:</t>
  </si>
  <si>
    <t>Phase and Task(s):</t>
  </si>
  <si>
    <t>Total (Allocated)</t>
  </si>
  <si>
    <t>Major activities completed and deliverables submitted for the reporting period.</t>
  </si>
  <si>
    <t>Summary Billing Report</t>
  </si>
  <si>
    <t>Please send monthly invoices to:</t>
  </si>
  <si>
    <t>Invoices shall include the following documentation:</t>
  </si>
  <si>
    <t>Please note:</t>
  </si>
  <si>
    <t>Subcontractor Invoice Instructions</t>
  </si>
  <si>
    <t>Attn: NY Payables</t>
  </si>
  <si>
    <t>NYPayables@brwncald.com</t>
  </si>
  <si>
    <t>Appropriate person must certify all invoices with the Contractor's Task Manager. All signatures must be legible.</t>
  </si>
  <si>
    <t>b.  Lump Sum Deliverable Sheet (Tab 5)</t>
  </si>
  <si>
    <t xml:space="preserve"> http://www.gsa.gov/portal/content/104877?utm_source=OCM&amp;utm_medium=print-radio&amp;utm_term=HP_01_Requested_perdiem&amp;utm_campaign</t>
  </si>
  <si>
    <t>Precise statement of work performed during billing period (Work Summary) must be with your invoice.</t>
  </si>
  <si>
    <t>Other cost information or documentation as requested by Brown and Caldwell.</t>
  </si>
  <si>
    <t>Refer to Prime Agreement for Subcontractor's overhead rates, profit percentages and rates for anticipated staff.</t>
  </si>
  <si>
    <t>Billing Detail - Lump Sum</t>
  </si>
  <si>
    <t>Payment for Deliverable Invoiced</t>
  </si>
  <si>
    <t>Deliverable Name</t>
  </si>
  <si>
    <t>Contract Item Number</t>
  </si>
  <si>
    <t>Date of Notice of Receipt or Acceptance 
(if relevant)</t>
  </si>
  <si>
    <t>Payment Type (Acceptance/
Progress/Receipt)</t>
  </si>
  <si>
    <r>
      <rPr>
        <b/>
        <sz val="11"/>
        <color rgb="FF262626"/>
        <rFont val="Franklin Gothic Book"/>
        <family val="2"/>
      </rPr>
      <t xml:space="preserve">Invoice Work Summary Sheet </t>
    </r>
    <r>
      <rPr>
        <sz val="11"/>
        <color rgb="FF262626"/>
        <rFont val="Franklin Gothic Book"/>
        <family val="2"/>
      </rPr>
      <t>(Tab 2):  The Work Summary includes a description of the Scope of Services per task(s) and will also include a narrative of what work was completed during the billing period.  If a section of the Work Summary does not apply to the invoice, indicate by inserting N/A in that section.</t>
    </r>
  </si>
  <si>
    <r>
      <rPr>
        <b/>
        <sz val="11"/>
        <color rgb="FF262626"/>
        <rFont val="Franklin Gothic Book"/>
        <family val="2"/>
      </rPr>
      <t xml:space="preserve">Summary Billing Report </t>
    </r>
    <r>
      <rPr>
        <sz val="11"/>
        <color rgb="FF262626"/>
        <rFont val="Franklin Gothic Book"/>
        <family val="2"/>
      </rPr>
      <t>(Tab 3): If an Invoice Cover Sheet contains tracking the following on a subtask level, these subtasks do not need to be included/inserted again into the Summary Billing Report (e.g., rows 38-39):</t>
    </r>
  </si>
  <si>
    <t>b.  40-Hour Employee Signed Timesheets or electronic 40-Hour Timesheet on a weekly or bi-weekly basis.</t>
  </si>
  <si>
    <t>1)  Identify the subtask number(s) associated with time logged toward project.</t>
  </si>
  <si>
    <t>1)  All other direct costs (ODC) receipts must have a date and time stamp, be itemized, show the vendor name and location, and is legible. Charges for direct reimbursable expenses and ODC shall be at actual cost subject to NYC Directive 6.</t>
  </si>
  <si>
    <t>2)  Identify the task number(s) associated with the expense.</t>
  </si>
  <si>
    <t>3)  Blackout/redact any excess charges not being billed toward the Project.</t>
  </si>
  <si>
    <t>4)  Identify which receipts are breakfast, lunch, and dinner.</t>
  </si>
  <si>
    <t>5)  Alcohol is not reimbursable to the client</t>
  </si>
  <si>
    <t>6)  Travel arrangements must be booked using the lowest cost economy or coach rates available. Incremental costs of upgrades are not reimburseable.</t>
  </si>
  <si>
    <t>7)  Miscellaneous Expenses: Entertainment, personal expenses, and flight insurance will not be reimbursed including car washes, laundry &amp; dry cleaning, taxi &amp; travel cost during non-working hours, and other similar miscellaneous non-work-related expenses.</t>
  </si>
  <si>
    <r>
      <rPr>
        <b/>
        <sz val="11"/>
        <color rgb="FF262626"/>
        <rFont val="Franklin Gothic Book"/>
        <family val="2"/>
      </rPr>
      <t>Cost-Plus Task(s):</t>
    </r>
    <r>
      <rPr>
        <sz val="11"/>
        <color rgb="FF262626"/>
        <rFont val="Franklin Gothic Book"/>
        <family val="2"/>
      </rPr>
      <t xml:space="preserve"> Include the following documentation along with Nos 1, 2, and 3.</t>
    </r>
  </si>
  <si>
    <r>
      <rPr>
        <b/>
        <sz val="11"/>
        <color theme="1"/>
        <rFont val="Franklin Gothic Book"/>
        <family val="2"/>
      </rPr>
      <t>Lump Sum Task(s):</t>
    </r>
    <r>
      <rPr>
        <sz val="11"/>
        <color theme="1"/>
        <rFont val="Franklin Gothic Book"/>
        <family val="2"/>
      </rPr>
      <t xml:space="preserve"> Include the additional documentation along with Nos 1, 2, and 3.</t>
    </r>
  </si>
  <si>
    <t>1) Include task(s) completed during the billing period.</t>
  </si>
  <si>
    <t>1)  Total billed previously</t>
  </si>
  <si>
    <t>2)  Amount billed this period</t>
  </si>
  <si>
    <t>3)  Total billed to dated</t>
  </si>
  <si>
    <t>4)  Subtask maximum</t>
  </si>
  <si>
    <t>5)  Remaining Balance</t>
  </si>
  <si>
    <t>a.  Labor Summary (Tab 4a)</t>
  </si>
  <si>
    <t>Mileage Log</t>
  </si>
  <si>
    <t>Purpose of Trip</t>
  </si>
  <si>
    <t xml:space="preserve">Origin </t>
  </si>
  <si>
    <t>Desination</t>
  </si>
  <si>
    <t xml:space="preserve">Odometer </t>
  </si>
  <si>
    <t>Mileage Rate</t>
  </si>
  <si>
    <t>Reimb. Amount</t>
  </si>
  <si>
    <t>Parking</t>
  </si>
  <si>
    <t>Tolls</t>
  </si>
  <si>
    <t>Beginning</t>
  </si>
  <si>
    <t>Ending</t>
  </si>
  <si>
    <t>I hereby certify that the travel indicated above was a necessary and valid business expense.</t>
  </si>
  <si>
    <t xml:space="preserve">Employee Signature: </t>
  </si>
  <si>
    <t xml:space="preserve">Date: </t>
  </si>
  <si>
    <t>Employee Name:</t>
  </si>
  <si>
    <t xml:space="preserve">Contract #: </t>
  </si>
  <si>
    <t>Date of Travel</t>
  </si>
  <si>
    <t>Miles</t>
  </si>
  <si>
    <t>Total Reimb. Amount</t>
  </si>
  <si>
    <t>Total Parking</t>
  </si>
  <si>
    <t>Total Tolls</t>
  </si>
  <si>
    <t>Total Trip Expense</t>
  </si>
  <si>
    <t>8) Mileage Log (Tab 4b) Effective January 1, 2020 IRS approved mileage rate is $0.575 per mile. Transportation costs for travel between staff's residence and any Primary Workstation are not reimburseable.</t>
  </si>
  <si>
    <t xml:space="preserve">c.  Travel Authorization: A form must be requested from Project Manager for each staff member. </t>
  </si>
  <si>
    <t>In the event a new DEP Audited Overhead Rate is received, please forward the Rate Letter to NYPayables@brwncald.com.</t>
  </si>
  <si>
    <t>Cost amounts shall be shown to two (2) decimal places (i.e., cents). Do not round to the whole dollar.</t>
  </si>
  <si>
    <r>
      <t xml:space="preserve">Each additional staff member not listed on the Project Prime Agreement must complete a Staff Addition Request to BC and approved by DEP prior to working on the project. Failure to obtain preapprovals may result in payments being delayed and/or portions of payments being Line H or permanently withheld from payment, Line A by DEP.
</t>
    </r>
    <r>
      <rPr>
        <i/>
        <sz val="11"/>
        <color theme="1"/>
        <rFont val="Franklin Gothic Book"/>
        <family val="2"/>
      </rPr>
      <t>Staff Addition Requests</t>
    </r>
    <r>
      <rPr>
        <sz val="11"/>
        <color theme="1"/>
        <rFont val="Franklin Gothic Book"/>
        <family val="2"/>
      </rPr>
      <t xml:space="preserve"> can be written via email or on company letterhead detailing each member's full name, title, project role, hourly unloaded rate, and if he/she/they are a new addition to the project or replacing a specific staff member already on the Project, and resumes for staff listed.</t>
    </r>
  </si>
  <si>
    <t>Current rates for Domestic Travel and Per Diem are established by General Services Administration at:  </t>
  </si>
  <si>
    <t>d.  Proof of all travel expenses</t>
  </si>
  <si>
    <t>1) Travel to the Client must be approved at least 5 days in advance by Brown and Caldwell and signed by DEP prior to travel occuring. Submit completed Travel Authoization forms to NYPayables@brwncald.com.</t>
  </si>
  <si>
    <t>BC Project Nos.:</t>
  </si>
  <si>
    <r>
      <rPr>
        <b/>
        <sz val="11"/>
        <color rgb="FF262626"/>
        <rFont val="Franklin Gothic Book"/>
        <family val="2"/>
      </rPr>
      <t>Invoice Cover Sheet</t>
    </r>
    <r>
      <rPr>
        <sz val="11"/>
        <color rgb="FF262626"/>
        <rFont val="Franklin Gothic Book"/>
        <family val="2"/>
      </rPr>
      <t xml:space="preserve">: </t>
    </r>
    <r>
      <rPr>
        <sz val="11"/>
        <rFont val="Franklin Gothic Book"/>
        <family val="2"/>
      </rPr>
      <t>The invoice cover sheet is a summary of what is being submitted. 
Examples: Outline of task and/or subtask activities completed during the billing period or the Subcontractor's invoice breakdown of task and/or subtask.</t>
    </r>
  </si>
  <si>
    <t>BWT-1608-JBCON</t>
  </si>
  <si>
    <t>826251608JBCON</t>
  </si>
  <si>
    <t>CTI 826 20268804134</t>
  </si>
  <si>
    <t>Master Planning for Jamaica Bay Wastewater Resource Recovery Facility Consolidation</t>
  </si>
  <si>
    <t>BC Project No:</t>
  </si>
  <si>
    <t xml:space="preserve">Contract:  </t>
  </si>
  <si>
    <t>ARUP US, Inc</t>
  </si>
  <si>
    <t xml:space="preserve">Subcontract Maximum </t>
  </si>
  <si>
    <t>Amendment One</t>
  </si>
  <si>
    <t>FEE FOR PROFIT (10%)</t>
  </si>
  <si>
    <t>Task &amp; Description</t>
  </si>
  <si>
    <t>Total Billed Previously</t>
  </si>
  <si>
    <t>This 
Invoice</t>
  </si>
  <si>
    <t>Total Billed to Date</t>
  </si>
  <si>
    <t>Subcontract Max</t>
  </si>
  <si>
    <t>Balance Remaining</t>
  </si>
  <si>
    <t>Total</t>
  </si>
  <si>
    <t>Task 1 - Project Management</t>
  </si>
  <si>
    <t>2.01.003: Existing Data Collection Memorandum and Gap Analysis</t>
  </si>
  <si>
    <t xml:space="preserve">2.05.001: Workshop </t>
  </si>
  <si>
    <t>2.05.002: Regulatory Futures Report Support</t>
  </si>
  <si>
    <t>2.06: Existing Conditions Assessment Report</t>
  </si>
  <si>
    <t>Task 2 - Site Survey and Information Collection</t>
  </si>
  <si>
    <t>Task 3 - Alternatives Evaluation</t>
  </si>
  <si>
    <t>Task 4 - Concept Design</t>
  </si>
  <si>
    <t>Task 5 - Cost Estimating</t>
  </si>
  <si>
    <t>Task 6 - Master Plan and Delivery Strategy</t>
  </si>
  <si>
    <t>Task 7 - Outreach and Coordination</t>
  </si>
  <si>
    <t>1 - Project Management</t>
  </si>
  <si>
    <t>2 - Site Survey and Information Collection</t>
  </si>
  <si>
    <t>3 - Alternatives Evaluation</t>
  </si>
  <si>
    <t>4 - Concept Design</t>
  </si>
  <si>
    <t>5 - Cost Estimating</t>
  </si>
  <si>
    <t>6 - Master Plan and Delivery Strategy</t>
  </si>
  <si>
    <t>7 - Outreach and Coordination</t>
  </si>
  <si>
    <t>Be sure to update mileage rate to latest GSA rate.</t>
  </si>
  <si>
    <t>Aquatech Engineering P.C.</t>
  </si>
  <si>
    <t>15 Bonita Vista Road, Mount Vernon, NY 10552</t>
  </si>
  <si>
    <t>Task 2.1 – Collection of Existing Information</t>
  </si>
  <si>
    <t>Task 2.5 – Regulatory Futures</t>
  </si>
  <si>
    <t>Task 2.6 – Existing Conditions Assessment Report</t>
  </si>
  <si>
    <t xml:space="preserve">Bryne, Bertrand </t>
  </si>
  <si>
    <t>Engineering Water Resource Lead/Senior Engineer</t>
  </si>
  <si>
    <t xml:space="preserve">Gilliam, Zachary </t>
  </si>
  <si>
    <t>Data Analyst / Modeler</t>
  </si>
  <si>
    <t xml:space="preserve">Hodge, Stacey </t>
  </si>
  <si>
    <t xml:space="preserve">Senior Engineer </t>
  </si>
  <si>
    <t xml:space="preserve">Svadlenka, Robert </t>
  </si>
  <si>
    <t>Senior Engineer / GIS</t>
  </si>
  <si>
    <t xml:space="preserve">Wang, Roger </t>
  </si>
  <si>
    <t xml:space="preserve">Welch, Alisa </t>
  </si>
  <si>
    <t>Project Manager, Data Specialist, Reg Lead</t>
  </si>
  <si>
    <t>By the 7th of each month, submit an invoice for work completed during the preceding month.</t>
  </si>
  <si>
    <t>0010052026</t>
  </si>
  <si>
    <t>May</t>
  </si>
  <si>
    <t>June</t>
  </si>
  <si>
    <t>July</t>
  </si>
  <si>
    <t>August</t>
  </si>
  <si>
    <t>BACAQ0002</t>
  </si>
  <si>
    <t>06/01/2026-06/30/2026</t>
  </si>
  <si>
    <t>Reviewed existing project information, planning documents, technical memorandum content, and supporting reference materials.
Performed QA/QC, editing, formatting, and citation review of the draft technical memorandum.
Compiled, reviewed, and updated water quality monitoring location data and summary tables.
Researched, compiled, and organized supporting project information, timeline data, figures, and reference materials.
Revised report figures, map exhibits, captions, and supporting GIS/spatial databases in response to project team comments.
Prepared meeting materials, presentation decks, action trackers, and project documentation.
Participated in internal coordination meetings and client meetings to review progress, coordinate revisions, and support ongoing project development.
Uploaded, organized, and maintained project documentation on the shared project workspace.</t>
  </si>
  <si>
    <t>Provided technical memorandum support, including QA/QC, editing, formatting, citation review, and preparation of supporting documentation; coordinated internal and client meetings; prepared meeting materials, presentations, action trackers, and project documentation; revised report maps, exhibits, captions, and supporting GIS databases; prepared and updated water quality monitoring location summaries and associated tables; researched and compiled supporting project information; incorporated project team comments into technical documents and mapping products; and supported ongoing project coordination and planning activities.</t>
  </si>
  <si>
    <t>Supported technical memorandum development through QA/QC, editing, formatting, and citation review.
Participated in coordination meetings to discuss project progress, planning considerations, and future technical work.
Prepared meeting materials, presentation decks, and action tracking documentation to support project coordination.</t>
  </si>
  <si>
    <t>Revised report figures, map exhibits, captions, and supporting GIS/spatial databases in response to project team comments.
Incorporated review comments into mapping products and supporting technical documentation.
Updated presentation materials and coordinated revisions to support development of Existing Conditions Assessment report deliverables.</t>
  </si>
  <si>
    <t>BWT 1608-Jobcon</t>
  </si>
  <si>
    <t>Client</t>
  </si>
  <si>
    <t>Service/Note</t>
  </si>
  <si>
    <t>Team</t>
  </si>
  <si>
    <t>Member/Date</t>
  </si>
  <si>
    <t>Status</t>
  </si>
  <si>
    <t>Total Hours</t>
  </si>
  <si>
    <t>Total Costs</t>
  </si>
  <si>
    <t>Brown and Caldwell Brown and Caldwell</t>
  </si>
  <si>
    <t>Task 1-Memo Support</t>
  </si>
  <si>
    <t>Citation list review, formatting, editing, completion and upload to shared drive.</t>
  </si>
  <si>
    <t>Ailsa Welch</t>
  </si>
  <si>
    <t>Billed</t>
  </si>
  <si>
    <t>2h 00m</t>
  </si>
  <si>
    <r>
      <t>$291.56 </t>
    </r>
    <r>
      <rPr>
        <sz val="11"/>
        <color rgb="FF576981"/>
        <rFont val="Inherit"/>
      </rPr>
      <t>USD</t>
    </r>
  </si>
  <si>
    <t>Internal meeting, client meeting. Up-loading of documents to the shared drive. Creation of deck for client meeting.</t>
  </si>
  <si>
    <t>4h 00m</t>
  </si>
  <si>
    <r>
      <t>$583.12 </t>
    </r>
    <r>
      <rPr>
        <sz val="11"/>
        <color rgb="FF576981"/>
        <rFont val="Inherit"/>
      </rPr>
      <t>USD</t>
    </r>
  </si>
  <si>
    <t>Prepare monitoring location data and attend meeting</t>
  </si>
  <si>
    <t>Bertrand Byrne</t>
  </si>
  <si>
    <r>
      <t>$369.24 </t>
    </r>
    <r>
      <rPr>
        <sz val="11"/>
        <color rgb="FF576981"/>
        <rFont val="Inherit"/>
      </rPr>
      <t>USD</t>
    </r>
  </si>
  <si>
    <t>No Service</t>
  </si>
  <si>
    <t>Revise map exhibits and supporting spatial databases in accordance with project team requests; prepare captions to support exceptions in specific exhibits; attend team meeting</t>
  </si>
  <si>
    <t>Robert Svadlenka</t>
  </si>
  <si>
    <t>5h 00m</t>
  </si>
  <si>
    <r>
      <t>$569.85 </t>
    </r>
    <r>
      <rPr>
        <sz val="11"/>
        <color rgb="FF576981"/>
        <rFont val="Inherit"/>
      </rPr>
      <t>USD</t>
    </r>
  </si>
  <si>
    <t>Update water quality summary table</t>
  </si>
  <si>
    <t>Revise map exhibits and supporting spatial databases in accordance with project team requests; prepare captions to support exceptions in specific exhibits.</t>
  </si>
  <si>
    <t>3h 00m</t>
  </si>
  <si>
    <r>
      <t>$341.91 </t>
    </r>
    <r>
      <rPr>
        <sz val="11"/>
        <color rgb="FF576981"/>
        <rFont val="Inherit"/>
      </rPr>
      <t>USD</t>
    </r>
  </si>
  <si>
    <t>Located and review status of timeline per request. Meeting with internal team to assess outstanding. Items. Review work done. </t>
  </si>
  <si>
    <t>Revise map exhibits and supporting spatial databases in accordance with project team requests.</t>
  </si>
  <si>
    <r>
      <t>$455.88 </t>
    </r>
    <r>
      <rPr>
        <sz val="11"/>
        <color rgb="FF576981"/>
        <rFont val="Inherit"/>
      </rPr>
      <t>USD</t>
    </r>
  </si>
  <si>
    <t>Sourcing and collation of timeline data, diagrams and relevant files.</t>
  </si>
  <si>
    <t>Edit spatial databases and map exhibits to comply with team requests for revisions.</t>
  </si>
  <si>
    <t>Review updated figures + Meeting attendance</t>
  </si>
  <si>
    <t>Meeting prep, internal meeting to coordinate finalization of materials. Attendance of client team meeting. </t>
  </si>
  <si>
    <r>
      <t>$437.34 </t>
    </r>
    <r>
      <rPr>
        <sz val="11"/>
        <color rgb="FF576981"/>
        <rFont val="Inherit"/>
      </rPr>
      <t>USD</t>
    </r>
  </si>
  <si>
    <t>Attend team meeting and research/download additional spatial data set for exhibits.</t>
  </si>
  <si>
    <r>
      <t>$227.94 </t>
    </r>
    <r>
      <rPr>
        <sz val="11"/>
        <color rgb="FF576981"/>
        <rFont val="Inherit"/>
      </rPr>
      <t>USD</t>
    </r>
  </si>
  <si>
    <t>Review updated figures &amp; meeting prep</t>
  </si>
  <si>
    <t>Review updated figures</t>
  </si>
  <si>
    <r>
      <t>$553.86 </t>
    </r>
    <r>
      <rPr>
        <sz val="11"/>
        <color rgb="FF576981"/>
        <rFont val="Inherit"/>
      </rPr>
      <t>USD</t>
    </r>
  </si>
  <si>
    <t>Finalize edits to preliminary planning document and coordinate with team on all requested/required revisions.</t>
  </si>
  <si>
    <t>Preparation for meeting, creation of slide deck, upload of documentation to shared drive. Internal meetings to compile documentation and update status.</t>
  </si>
  <si>
    <t>Update and enhance spatial databases to accommodate changes in mapping extents; revise and update exhibits for preliminary draft of master plan per instructions of team leader.</t>
  </si>
  <si>
    <t>Revise and update exhibits for preliminary draft of master plan per instructions of team leader.</t>
  </si>
  <si>
    <t>Revise report exhibits based on request and directions from team leader.</t>
  </si>
  <si>
    <t>Meeting attendance. Working with Rob on preparing updated deck and mapping completed items to the tracker. Internal meeting. Internal notes completion of client meeting and dissemination. </t>
  </si>
  <si>
    <t>Responding to tech memo edits reviewing figures and developing table summarizing Water Quality data monitoring locations data</t>
  </si>
  <si>
    <t>Revise report exhibits, prepare summary table of monitoring locations and attend team meeting.</t>
  </si>
  <si>
    <t>QA/QC tech memo</t>
  </si>
  <si>
    <t>Total for BWT 1608-Jobcon</t>
  </si>
  <si>
    <t>71h 00m</t>
  </si>
  <si>
    <r>
      <t>$9,724.20 </t>
    </r>
    <r>
      <rPr>
        <sz val="11"/>
        <color rgb="FF576981"/>
        <rFont val="Inherit"/>
      </rPr>
      <t>USD</t>
    </r>
  </si>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</sst>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7" formatCode="&quot;$&quot;#,##0.00_);\(&quot;$&quot;#,##0.00\)"/>
    <numFmt numFmtId="44" formatCode="_(&quot;$&quot;* #,##0.00_);_(&quot;$&quot;* \(#,##0.00\);_(&quot;$&quot;* &quot;-&quot;??_);_(@_)"/>
    <numFmt numFmtId="43" formatCode="_(* #,##0.00_);_(* \(#,##0.00\);_(* &quot;-&quot;??_);_(@_)"/>
    <numFmt numFmtId="164" formatCode="[$-409]mmmm\ d\,\ yyyy;@"/>
    <numFmt numFmtId="165" formatCode="&quot;$&quot;#,##0.00"/>
    <numFmt numFmtId="166" formatCode="0.0%"/>
    <numFmt numFmtId="167" formatCode="0.0"/>
    <numFmt numFmtId="168" formatCode="_(&quot;$&quot;* #,##0.000_);_(&quot;$&quot;* \(#,##0.000\);_(&quot;$&quot;* &quot;-&quot;??_);_(@_)"/>
  </numFmts>
  <fonts count="52">
    <font>
      <sz val="11"/>
      <color theme="1"/>
      <name val="Calibri"/>
      <family val="2"/>
      <scheme val="minor"/>
    </font>
    <font>
      <sz val="11"/>
      <color theme="1"/>
      <name val="Calibri"/>
      <family val="2"/>
      <scheme val="minor"/>
    </font>
    <font>
      <sz val="30"/>
      <color theme="1"/>
      <name val="Franklin Gothic Demi"/>
      <family val="2"/>
    </font>
    <font>
      <sz val="11"/>
      <color theme="1"/>
      <name val="Franklin Gothic Demi"/>
      <family val="2"/>
    </font>
    <font>
      <sz val="11"/>
      <color theme="1"/>
      <name val="Franklin Gothic Book"/>
      <family val="2"/>
    </font>
    <font>
      <b/>
      <sz val="11"/>
      <color theme="1"/>
      <name val="Franklin Gothic Book"/>
      <family val="2"/>
    </font>
    <font>
      <sz val="9"/>
      <color theme="1"/>
      <name val="Calibri"/>
      <family val="2"/>
      <scheme val="minor"/>
    </font>
    <font>
      <sz val="11"/>
      <color rgb="FF262626"/>
      <name val="Franklin Gothic Book"/>
      <family val="2"/>
    </font>
    <font>
      <b/>
      <sz val="11"/>
      <color theme="0"/>
      <name val="Franklin Gothic Book"/>
      <family val="2"/>
    </font>
    <font>
      <b/>
      <sz val="11"/>
      <name val="Franklin Gothic Book"/>
      <family val="2"/>
    </font>
    <font>
      <b/>
      <sz val="10"/>
      <color theme="1"/>
      <name val="Franklin Gothic Book"/>
      <family val="2"/>
    </font>
    <font>
      <sz val="9"/>
      <color theme="1"/>
      <name val="Franklin Gothic Book"/>
      <family val="2"/>
    </font>
    <font>
      <sz val="8"/>
      <color theme="1"/>
      <name val="Franklin Gothic Book"/>
      <family val="2"/>
    </font>
    <font>
      <b/>
      <sz val="12"/>
      <color theme="1"/>
      <name val="Franklin Gothic Book"/>
      <family val="2"/>
    </font>
    <font>
      <sz val="10"/>
      <color rgb="FFFF0000"/>
      <name val="Franklin Gothic Book"/>
      <family val="2"/>
    </font>
    <font>
      <b/>
      <sz val="8"/>
      <color theme="1"/>
      <name val="Franklin Gothic Book"/>
      <family val="2"/>
    </font>
    <font>
      <sz val="14"/>
      <color theme="1"/>
      <name val="Franklin Gothic Demi"/>
      <family val="2"/>
    </font>
    <font>
      <sz val="10"/>
      <color theme="1"/>
      <name val="Franklin Gothic Book"/>
      <family val="2"/>
    </font>
    <font>
      <b/>
      <sz val="11"/>
      <color theme="1"/>
      <name val="Calibri"/>
      <family val="2"/>
      <scheme val="minor"/>
    </font>
    <font>
      <sz val="12.5"/>
      <color rgb="FF000000"/>
      <name val="Franklin Gothic Medium"/>
      <family val="2"/>
    </font>
    <font>
      <sz val="11"/>
      <name val="Franklin Gothic Book"/>
      <family val="2"/>
    </font>
    <font>
      <sz val="12"/>
      <name val="Symbol"/>
      <family val="1"/>
      <charset val="2"/>
    </font>
    <font>
      <sz val="8"/>
      <color rgb="FF262626"/>
      <name val="Symbol"/>
      <family val="1"/>
      <charset val="2"/>
    </font>
    <font>
      <b/>
      <sz val="11"/>
      <color rgb="FF262626"/>
      <name val="Franklin Gothic Book"/>
      <family val="2"/>
    </font>
    <font>
      <sz val="9"/>
      <color rgb="FF262626"/>
      <name val="Franklin Gothic Medium Cond"/>
      <family val="2"/>
    </font>
    <font>
      <u/>
      <sz val="11"/>
      <color theme="10"/>
      <name val="Calibri"/>
      <family val="2"/>
      <scheme val="minor"/>
    </font>
    <font>
      <sz val="20"/>
      <color rgb="FF000000"/>
      <name val="Franklin Gothic Medium"/>
      <family val="2"/>
    </font>
    <font>
      <sz val="12"/>
      <name val="Franklin Gothic Book"/>
      <family val="2"/>
    </font>
    <font>
      <b/>
      <sz val="11"/>
      <color rgb="FFC00000"/>
      <name val="Franklin Gothic Book"/>
      <family val="2"/>
    </font>
    <font>
      <sz val="10"/>
      <name val="Franklin Gothic Book"/>
      <family val="2"/>
    </font>
    <font>
      <sz val="16"/>
      <name val="Franklin Gothic Book"/>
      <family val="2"/>
    </font>
    <font>
      <sz val="26"/>
      <name val="Franklin Gothic Book"/>
      <family val="2"/>
    </font>
    <font>
      <b/>
      <sz val="16"/>
      <name val="Franklin Gothic Book"/>
      <family val="2"/>
    </font>
    <font>
      <i/>
      <sz val="11"/>
      <name val="Franklin Gothic Book"/>
      <family val="2"/>
    </font>
    <font>
      <b/>
      <i/>
      <sz val="11"/>
      <name val="Franklin Gothic Book"/>
      <family val="2"/>
    </font>
    <font>
      <i/>
      <sz val="12"/>
      <name val="Franklin Gothic Book"/>
      <family val="2"/>
    </font>
    <font>
      <sz val="11"/>
      <name val="Franklin Gothic Medium Cond"/>
      <family val="2"/>
    </font>
    <font>
      <sz val="12"/>
      <name val="Franklin Gothic Medium Cond"/>
      <family val="2"/>
    </font>
    <font>
      <i/>
      <sz val="11"/>
      <color theme="1"/>
      <name val="Franklin Gothic Book"/>
      <family val="2"/>
    </font>
    <font>
      <u/>
      <sz val="11"/>
      <color theme="10"/>
      <name val="Franklin Gothic Book"/>
      <family val="2"/>
    </font>
    <font>
      <b/>
      <sz val="48"/>
      <color theme="1"/>
      <name val="Calibri"/>
      <family val="2"/>
      <scheme val="minor"/>
    </font>
    <font>
      <sz val="10"/>
      <color theme="1"/>
      <name val="Calibri"/>
      <family val="2"/>
      <scheme val="minor"/>
    </font>
    <font>
      <sz val="11"/>
      <color rgb="FF000000"/>
      <name val="Calibri"/>
      <family val="2"/>
      <scheme val="minor"/>
    </font>
    <font>
      <sz val="9"/>
      <color theme="0"/>
      <name val="Calibri"/>
      <family val="2"/>
      <scheme val="minor"/>
    </font>
    <font>
      <sz val="11"/>
      <color theme="0"/>
      <name val="Calibri"/>
      <family val="2"/>
      <scheme val="minor"/>
    </font>
    <font>
      <b/>
      <sz val="11"/>
      <color theme="1"/>
      <name val="Inherit"/>
    </font>
    <font>
      <b/>
      <sz val="11"/>
      <color rgb="FF001B40"/>
      <name val="Inherit"/>
    </font>
    <font>
      <b/>
      <sz val="11"/>
      <color rgb="FF576981"/>
      <name val="Inherit"/>
    </font>
    <font>
      <sz val="11"/>
      <color theme="1"/>
      <name val="Inherit"/>
    </font>
    <font>
      <sz val="11"/>
      <color rgb="FF576981"/>
      <name val="Inherit"/>
    </font>
    <font>
      <sz val="11"/>
      <color theme="1"/>
      <name val="Inherit"/>
    </font>
    <font>
      <sz val="11"/>
      <color rgb="FF001B40"/>
      <name val="Inherit"/>
    </font>
  </fonts>
  <fills count="8">
    <fill>
      <patternFill patternType="none"/>
    </fill>
    <fill>
      <patternFill patternType="gray125"/>
    </fill>
    <fill>
      <patternFill patternType="solid">
        <fgColor rgb="FF43525A"/>
        <bgColor indexed="64"/>
      </patternFill>
    </fill>
    <fill>
      <patternFill patternType="solid">
        <fgColor rgb="FFEFEFED"/>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34998626667073579"/>
        <bgColor indexed="64"/>
      </patternFill>
    </fill>
  </fills>
  <borders count="34">
    <border>
      <left/>
      <right/>
      <top/>
      <bottom/>
      <diagonal/>
    </border>
    <border>
      <left/>
      <right/>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rgb="FF909D93"/>
      </bottom>
      <diagonal/>
    </border>
    <border>
      <left/>
      <right style="thin">
        <color rgb="FF909D93"/>
      </right>
      <top style="thin">
        <color rgb="FF909D93"/>
      </top>
      <bottom/>
      <diagonal/>
    </border>
    <border>
      <left style="thin">
        <color rgb="FF909D93"/>
      </left>
      <right style="thin">
        <color rgb="FF909D93"/>
      </right>
      <top style="thin">
        <color rgb="FF909D93"/>
      </top>
      <bottom/>
      <diagonal/>
    </border>
    <border>
      <left style="thin">
        <color rgb="FF909D93"/>
      </left>
      <right/>
      <top style="thin">
        <color rgb="FF909D93"/>
      </top>
      <bottom/>
      <diagonal/>
    </border>
    <border>
      <left/>
      <right style="thin">
        <color rgb="FF909D93"/>
      </right>
      <top style="thin">
        <color rgb="FF909D93"/>
      </top>
      <bottom style="thin">
        <color rgb="FF909D93"/>
      </bottom>
      <diagonal/>
    </border>
    <border>
      <left style="thin">
        <color rgb="FF909D93"/>
      </left>
      <right style="thin">
        <color rgb="FF909D93"/>
      </right>
      <top style="thin">
        <color rgb="FF909D93"/>
      </top>
      <bottom style="thin">
        <color rgb="FF909D93"/>
      </bottom>
      <diagonal/>
    </border>
    <border>
      <left style="thin">
        <color rgb="FF909D93"/>
      </left>
      <right/>
      <top style="thin">
        <color rgb="FF909D93"/>
      </top>
      <bottom style="thin">
        <color rgb="FF909D93"/>
      </bottom>
      <diagonal/>
    </border>
    <border>
      <left/>
      <right/>
      <top style="thin">
        <color rgb="FF909D93"/>
      </top>
      <bottom style="thin">
        <color rgb="FF909D93"/>
      </bottom>
      <diagonal/>
    </border>
    <border>
      <left/>
      <right/>
      <top style="thin">
        <color rgb="FF909D93"/>
      </top>
      <bottom/>
      <diagonal/>
    </border>
    <border>
      <left/>
      <right style="thin">
        <color rgb="FF909D93"/>
      </right>
      <top/>
      <bottom style="thin">
        <color rgb="FF909D93"/>
      </bottom>
      <diagonal/>
    </border>
    <border>
      <left/>
      <right/>
      <top style="thin">
        <color rgb="FF909D93"/>
      </top>
      <bottom style="thin">
        <color theme="0" tint="-0.499984740745262"/>
      </bottom>
      <diagonal/>
    </border>
    <border>
      <left/>
      <right style="thin">
        <color rgb="FF909D93"/>
      </right>
      <top style="thin">
        <color rgb="FF909D93"/>
      </top>
      <bottom style="thin">
        <color theme="0" tint="-0.499984740745262"/>
      </bottom>
      <diagonal/>
    </border>
    <border>
      <left style="thin">
        <color theme="6"/>
      </left>
      <right style="thin">
        <color theme="6"/>
      </right>
      <top style="thin">
        <color theme="6"/>
      </top>
      <bottom style="thin">
        <color theme="6"/>
      </bottom>
      <diagonal/>
    </border>
    <border>
      <left/>
      <right style="thin">
        <color theme="6"/>
      </right>
      <top style="thin">
        <color theme="6"/>
      </top>
      <bottom style="thin">
        <color theme="6"/>
      </bottom>
      <diagonal/>
    </border>
    <border>
      <left style="thin">
        <color theme="6"/>
      </left>
      <right/>
      <top style="thin">
        <color theme="6"/>
      </top>
      <bottom style="thin">
        <color theme="6"/>
      </bottom>
      <diagonal/>
    </border>
    <border>
      <left/>
      <right/>
      <top style="thin">
        <color theme="6"/>
      </top>
      <bottom style="thin">
        <color theme="6"/>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theme="1"/>
      </left>
      <right style="thin">
        <color theme="1"/>
      </right>
      <top style="thin">
        <color theme="1"/>
      </top>
      <bottom style="thin">
        <color theme="1"/>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25" fillId="0" borderId="0" applyNumberFormat="0" applyFill="0" applyBorder="0" applyAlignment="0" applyProtection="0"/>
  </cellStyleXfs>
  <cellXfs count="246">
    <xf numFmtId="0" fontId="0" fillId="0" borderId="0" xfId="0"/>
    <xf numFmtId="0" fontId="3" fillId="0" borderId="0" xfId="0" applyFont="1" applyAlignment="1">
      <alignment horizontal="left" vertical="center"/>
    </xf>
    <xf numFmtId="0" fontId="4" fillId="0" borderId="0" xfId="0" applyFont="1" applyAlignment="1">
      <alignment vertical="center"/>
    </xf>
    <xf numFmtId="0" fontId="5" fillId="0" borderId="0" xfId="0" applyFont="1" applyAlignment="1">
      <alignment vertical="center"/>
    </xf>
    <xf numFmtId="0" fontId="6" fillId="0" borderId="0" xfId="0" applyFont="1"/>
    <xf numFmtId="0" fontId="3" fillId="0" borderId="0" xfId="0" applyFont="1" applyAlignment="1">
      <alignment vertical="center"/>
    </xf>
    <xf numFmtId="165" fontId="4" fillId="0" borderId="0" xfId="0" applyNumberFormat="1" applyFont="1" applyAlignment="1">
      <alignment vertical="center"/>
    </xf>
    <xf numFmtId="0" fontId="4" fillId="0" borderId="0" xfId="0" applyFont="1" applyAlignment="1">
      <alignment horizontal="left" vertical="center"/>
    </xf>
    <xf numFmtId="164" fontId="4" fillId="0" borderId="0" xfId="0" applyNumberFormat="1" applyFont="1" applyAlignment="1">
      <alignment horizontal="left" vertical="center"/>
    </xf>
    <xf numFmtId="165" fontId="6" fillId="0" borderId="0" xfId="0" applyNumberFormat="1" applyFont="1"/>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165" fontId="10" fillId="3" borderId="9" xfId="0" applyNumberFormat="1" applyFont="1" applyFill="1" applyBorder="1" applyAlignment="1">
      <alignment horizontal="center" vertical="center"/>
    </xf>
    <xf numFmtId="165" fontId="10" fillId="3" borderId="10" xfId="0" applyNumberFormat="1" applyFont="1" applyFill="1" applyBorder="1" applyAlignment="1">
      <alignment horizontal="center" vertical="center" wrapText="1"/>
    </xf>
    <xf numFmtId="0" fontId="11" fillId="0" borderId="11" xfId="0" applyFont="1" applyBorder="1" applyAlignment="1">
      <alignment horizontal="left"/>
    </xf>
    <xf numFmtId="0" fontId="11" fillId="0" borderId="12" xfId="0" applyFont="1" applyBorder="1"/>
    <xf numFmtId="165" fontId="11" fillId="0" borderId="12" xfId="0" applyNumberFormat="1" applyFont="1" applyBorder="1"/>
    <xf numFmtId="165" fontId="11" fillId="0" borderId="13" xfId="0" applyNumberFormat="1" applyFont="1" applyBorder="1"/>
    <xf numFmtId="165" fontId="11" fillId="0" borderId="13" xfId="0" applyNumberFormat="1" applyFont="1" applyBorder="1" applyAlignment="1">
      <alignment vertical="center"/>
    </xf>
    <xf numFmtId="0" fontId="4" fillId="0" borderId="0" xfId="0" applyFont="1" applyAlignment="1">
      <alignment horizontal="left" vertical="center" wrapText="1"/>
    </xf>
    <xf numFmtId="0" fontId="12" fillId="0" borderId="0" xfId="0" applyFont="1"/>
    <xf numFmtId="0" fontId="13" fillId="0" borderId="0" xfId="0" applyFont="1"/>
    <xf numFmtId="0" fontId="12" fillId="0" borderId="0" xfId="0" applyFont="1" applyAlignment="1">
      <alignment horizontal="right"/>
    </xf>
    <xf numFmtId="164" fontId="12" fillId="0" borderId="0" xfId="0" applyNumberFormat="1" applyFont="1"/>
    <xf numFmtId="0" fontId="14" fillId="0" borderId="0" xfId="0" applyFont="1"/>
    <xf numFmtId="0" fontId="12" fillId="0" borderId="0" xfId="0" quotePrefix="1" applyFont="1" applyAlignment="1">
      <alignment horizontal="center"/>
    </xf>
    <xf numFmtId="0" fontId="12" fillId="0" borderId="0" xfId="0" applyFont="1" applyAlignment="1">
      <alignment horizontal="center"/>
    </xf>
    <xf numFmtId="0" fontId="12" fillId="0" borderId="0" xfId="0" applyFont="1" applyAlignment="1">
      <alignment horizontal="left"/>
    </xf>
    <xf numFmtId="0" fontId="12" fillId="0" borderId="2" xfId="0" applyFont="1" applyBorder="1" applyAlignment="1">
      <alignment horizontal="left"/>
    </xf>
    <xf numFmtId="0" fontId="12" fillId="0" borderId="2" xfId="0" applyFont="1" applyBorder="1"/>
    <xf numFmtId="0" fontId="15" fillId="0" borderId="0" xfId="0" applyFont="1" applyAlignment="1">
      <alignment horizontal="left"/>
    </xf>
    <xf numFmtId="165" fontId="15" fillId="0" borderId="0" xfId="0" applyNumberFormat="1" applyFont="1" applyAlignment="1">
      <alignment horizontal="center"/>
    </xf>
    <xf numFmtId="165" fontId="12" fillId="0" borderId="0" xfId="0" applyNumberFormat="1" applyFont="1"/>
    <xf numFmtId="165" fontId="12" fillId="0" borderId="2" xfId="0" applyNumberFormat="1" applyFont="1" applyBorder="1"/>
    <xf numFmtId="166" fontId="12" fillId="0" borderId="0" xfId="2" applyNumberFormat="1" applyFont="1"/>
    <xf numFmtId="7" fontId="12" fillId="0" borderId="0" xfId="0" applyNumberFormat="1" applyFont="1"/>
    <xf numFmtId="0" fontId="15" fillId="0" borderId="0" xfId="0" applyFont="1"/>
    <xf numFmtId="165" fontId="15" fillId="0" borderId="6" xfId="0" applyNumberFormat="1" applyFont="1" applyBorder="1"/>
    <xf numFmtId="166" fontId="15" fillId="0" borderId="6" xfId="2" applyNumberFormat="1" applyFont="1" applyBorder="1"/>
    <xf numFmtId="0" fontId="15" fillId="0" borderId="0" xfId="0" applyFont="1" applyAlignment="1">
      <alignment horizontal="right"/>
    </xf>
    <xf numFmtId="0" fontId="12" fillId="0" borderId="0" xfId="0" applyFont="1" applyAlignment="1">
      <alignment horizontal="left" indent="1"/>
    </xf>
    <xf numFmtId="0" fontId="0" fillId="0" borderId="1" xfId="0" applyBorder="1"/>
    <xf numFmtId="0" fontId="12" fillId="0" borderId="0" xfId="0" applyFont="1" applyAlignment="1">
      <alignment vertical="top" wrapText="1"/>
    </xf>
    <xf numFmtId="9" fontId="12" fillId="0" borderId="0" xfId="2" applyFont="1" applyBorder="1"/>
    <xf numFmtId="9" fontId="12" fillId="0" borderId="2" xfId="2" applyFont="1" applyBorder="1"/>
    <xf numFmtId="9" fontId="12" fillId="0" borderId="0" xfId="2" applyFont="1"/>
    <xf numFmtId="0" fontId="19" fillId="0" borderId="0" xfId="0" applyFont="1" applyAlignment="1">
      <alignment vertical="center"/>
    </xf>
    <xf numFmtId="0" fontId="7" fillId="0" borderId="0" xfId="0" applyFont="1" applyAlignment="1">
      <alignment vertical="center"/>
    </xf>
    <xf numFmtId="0" fontId="21" fillId="0" borderId="0" xfId="0" applyFont="1" applyAlignment="1">
      <alignment horizontal="left" vertical="center" indent="5"/>
    </xf>
    <xf numFmtId="0" fontId="20" fillId="0" borderId="0" xfId="0" applyFont="1" applyAlignment="1">
      <alignment horizontal="left" vertical="center" wrapText="1"/>
    </xf>
    <xf numFmtId="0" fontId="0" fillId="0" borderId="0" xfId="0" applyAlignment="1">
      <alignment wrapText="1"/>
    </xf>
    <xf numFmtId="0" fontId="24" fillId="0" borderId="0" xfId="0" applyFont="1" applyAlignment="1">
      <alignment vertical="center" wrapText="1"/>
    </xf>
    <xf numFmtId="0" fontId="25" fillId="0" borderId="0" xfId="4" applyAlignment="1">
      <alignment vertical="center" wrapText="1"/>
    </xf>
    <xf numFmtId="6" fontId="24" fillId="0" borderId="0" xfId="0" applyNumberFormat="1" applyFont="1" applyAlignment="1">
      <alignment vertical="center" wrapText="1"/>
    </xf>
    <xf numFmtId="0" fontId="20" fillId="0" borderId="0" xfId="0" applyFont="1" applyAlignment="1">
      <alignment vertical="center" wrapText="1"/>
    </xf>
    <xf numFmtId="0" fontId="4" fillId="0" borderId="0" xfId="0" applyFont="1"/>
    <xf numFmtId="0" fontId="20" fillId="0" borderId="19" xfId="0" applyFont="1" applyBorder="1" applyAlignment="1">
      <alignment horizontal="left" vertical="center" wrapText="1"/>
    </xf>
    <xf numFmtId="0" fontId="27" fillId="0" borderId="19" xfId="0" applyFont="1" applyBorder="1" applyAlignment="1">
      <alignment horizontal="left" vertical="center" indent="5"/>
    </xf>
    <xf numFmtId="0" fontId="4" fillId="0" borderId="19" xfId="0" applyFont="1" applyBorder="1" applyAlignment="1">
      <alignment horizontal="left"/>
    </xf>
    <xf numFmtId="0" fontId="4" fillId="0" borderId="19" xfId="0" applyFont="1" applyBorder="1"/>
    <xf numFmtId="0" fontId="0" fillId="0" borderId="19" xfId="0" applyBorder="1"/>
    <xf numFmtId="0" fontId="18" fillId="0" borderId="0" xfId="0" applyFont="1"/>
    <xf numFmtId="0" fontId="17" fillId="0" borderId="0" xfId="0" applyFont="1" applyAlignment="1">
      <alignment vertical="center"/>
    </xf>
    <xf numFmtId="0" fontId="10" fillId="4" borderId="19" xfId="0" applyFont="1" applyFill="1" applyBorder="1" applyAlignment="1">
      <alignment vertical="center"/>
    </xf>
    <xf numFmtId="0" fontId="10" fillId="4" borderId="19" xfId="0" applyFont="1" applyFill="1" applyBorder="1" applyAlignment="1">
      <alignment horizontal="center" vertical="center"/>
    </xf>
    <xf numFmtId="0" fontId="10" fillId="4" borderId="19" xfId="0" applyFont="1" applyFill="1" applyBorder="1" applyAlignment="1">
      <alignment horizontal="center" vertical="center" wrapText="1"/>
    </xf>
    <xf numFmtId="0" fontId="4" fillId="0" borderId="19" xfId="0" applyFont="1" applyBorder="1" applyAlignment="1">
      <alignment horizontal="left" vertical="center"/>
    </xf>
    <xf numFmtId="0" fontId="4" fillId="0" borderId="19" xfId="0" applyFont="1" applyBorder="1" applyAlignment="1">
      <alignment vertical="center"/>
    </xf>
    <xf numFmtId="0" fontId="3" fillId="0" borderId="19" xfId="0" applyFont="1" applyBorder="1" applyAlignment="1">
      <alignment vertical="center"/>
    </xf>
    <xf numFmtId="0" fontId="4" fillId="0" borderId="1" xfId="0" applyFont="1" applyBorder="1" applyAlignment="1">
      <alignment vertical="center"/>
    </xf>
    <xf numFmtId="0" fontId="0" fillId="0" borderId="0" xfId="0" applyAlignment="1">
      <alignment horizontal="center"/>
    </xf>
    <xf numFmtId="0" fontId="7" fillId="0" borderId="21" xfId="0" applyFont="1" applyBorder="1" applyAlignment="1">
      <alignment horizontal="left" vertical="center" wrapText="1"/>
    </xf>
    <xf numFmtId="0" fontId="29" fillId="0" borderId="0" xfId="0" applyFont="1"/>
    <xf numFmtId="0" fontId="29" fillId="0" borderId="0" xfId="0" applyFont="1" applyAlignment="1">
      <alignment horizontal="right"/>
    </xf>
    <xf numFmtId="0" fontId="32" fillId="0" borderId="0" xfId="0" applyFont="1"/>
    <xf numFmtId="0" fontId="29" fillId="0" borderId="1" xfId="0" applyFont="1" applyBorder="1"/>
    <xf numFmtId="0" fontId="27" fillId="0" borderId="0" xfId="0" applyFont="1"/>
    <xf numFmtId="0" fontId="27" fillId="0" borderId="0" xfId="0" applyFont="1" applyAlignment="1">
      <alignment wrapText="1"/>
    </xf>
    <xf numFmtId="49" fontId="27" fillId="0" borderId="0" xfId="0" applyNumberFormat="1" applyFont="1" applyAlignment="1">
      <alignment wrapText="1"/>
    </xf>
    <xf numFmtId="0" fontId="27" fillId="0" borderId="0" xfId="0" applyFont="1" applyAlignment="1">
      <alignment horizontal="right"/>
    </xf>
    <xf numFmtId="167" fontId="27" fillId="0" borderId="0" xfId="0" applyNumberFormat="1" applyFont="1" applyAlignment="1">
      <alignment horizontal="right"/>
    </xf>
    <xf numFmtId="0" fontId="33" fillId="0" borderId="0" xfId="0" applyFont="1"/>
    <xf numFmtId="0" fontId="20" fillId="0" borderId="0" xfId="0" applyFont="1"/>
    <xf numFmtId="0" fontId="33" fillId="0" borderId="1" xfId="0" applyFont="1" applyBorder="1"/>
    <xf numFmtId="0" fontId="31" fillId="0" borderId="0" xfId="0" applyFont="1" applyAlignment="1">
      <alignment horizontal="center"/>
    </xf>
    <xf numFmtId="0" fontId="34" fillId="0" borderId="0" xfId="0" applyFont="1" applyAlignment="1">
      <alignment horizontal="right"/>
    </xf>
    <xf numFmtId="0" fontId="34" fillId="0" borderId="0" xfId="0" applyFont="1"/>
    <xf numFmtId="14" fontId="20" fillId="0" borderId="6" xfId="0" applyNumberFormat="1" applyFont="1" applyBorder="1" applyAlignment="1">
      <alignment horizontal="left"/>
    </xf>
    <xf numFmtId="0" fontId="20" fillId="0" borderId="6" xfId="0" applyFont="1" applyBorder="1" applyAlignment="1">
      <alignment wrapText="1"/>
    </xf>
    <xf numFmtId="49" fontId="20" fillId="0" borderId="6" xfId="0" applyNumberFormat="1" applyFont="1" applyBorder="1" applyAlignment="1">
      <alignment wrapText="1"/>
    </xf>
    <xf numFmtId="0" fontId="20" fillId="0" borderId="6" xfId="0" applyFont="1" applyBorder="1" applyAlignment="1">
      <alignment horizontal="right"/>
    </xf>
    <xf numFmtId="167" fontId="20" fillId="0" borderId="6" xfId="0" applyNumberFormat="1" applyFont="1" applyBorder="1" applyAlignment="1">
      <alignment horizontal="right"/>
    </xf>
    <xf numFmtId="2" fontId="20" fillId="0" borderId="6" xfId="0" applyNumberFormat="1" applyFont="1" applyBorder="1" applyAlignment="1">
      <alignment horizontal="right"/>
    </xf>
    <xf numFmtId="0" fontId="35" fillId="0" borderId="0" xfId="0" applyFont="1"/>
    <xf numFmtId="14" fontId="29" fillId="0" borderId="0" xfId="0" applyNumberFormat="1" applyFont="1" applyAlignment="1">
      <alignment horizontal="center"/>
    </xf>
    <xf numFmtId="44" fontId="20" fillId="0" borderId="6" xfId="3" applyFont="1" applyBorder="1" applyAlignment="1">
      <alignment horizontal="right"/>
    </xf>
    <xf numFmtId="168" fontId="20" fillId="0" borderId="6" xfId="3" applyNumberFormat="1" applyFont="1" applyBorder="1" applyAlignment="1">
      <alignment horizontal="right"/>
    </xf>
    <xf numFmtId="0" fontId="9" fillId="0" borderId="0" xfId="0" applyFont="1"/>
    <xf numFmtId="14" fontId="29" fillId="0" borderId="0" xfId="0" applyNumberFormat="1" applyFont="1"/>
    <xf numFmtId="14" fontId="20" fillId="0" borderId="0" xfId="0" applyNumberFormat="1" applyFont="1" applyAlignment="1">
      <alignment horizontal="left"/>
    </xf>
    <xf numFmtId="0" fontId="20" fillId="0" borderId="0" xfId="0" applyFont="1" applyAlignment="1">
      <alignment wrapText="1"/>
    </xf>
    <xf numFmtId="49" fontId="20" fillId="0" borderId="0" xfId="0" applyNumberFormat="1" applyFont="1" applyAlignment="1">
      <alignment wrapText="1"/>
    </xf>
    <xf numFmtId="0" fontId="20" fillId="0" borderId="0" xfId="0" applyFont="1" applyAlignment="1">
      <alignment horizontal="right"/>
    </xf>
    <xf numFmtId="0" fontId="20" fillId="0" borderId="26" xfId="0" applyFont="1" applyBorder="1" applyAlignment="1">
      <alignment horizontal="right"/>
    </xf>
    <xf numFmtId="2" fontId="20" fillId="0" borderId="26" xfId="0" applyNumberFormat="1" applyFont="1" applyBorder="1" applyAlignment="1">
      <alignment horizontal="right"/>
    </xf>
    <xf numFmtId="14" fontId="20" fillId="0" borderId="26" xfId="0" applyNumberFormat="1" applyFont="1" applyBorder="1" applyAlignment="1">
      <alignment horizontal="left"/>
    </xf>
    <xf numFmtId="0" fontId="20" fillId="0" borderId="26" xfId="0" applyFont="1" applyBorder="1" applyAlignment="1">
      <alignment wrapText="1"/>
    </xf>
    <xf numFmtId="49" fontId="20" fillId="0" borderId="26" xfId="0" applyNumberFormat="1" applyFont="1" applyBorder="1" applyAlignment="1">
      <alignment wrapText="1"/>
    </xf>
    <xf numFmtId="167" fontId="20" fillId="0" borderId="26" xfId="0" applyNumberFormat="1" applyFont="1" applyBorder="1" applyAlignment="1">
      <alignment horizontal="right"/>
    </xf>
    <xf numFmtId="168" fontId="20" fillId="0" borderId="26" xfId="3" applyNumberFormat="1" applyFont="1" applyBorder="1" applyAlignment="1">
      <alignment horizontal="right"/>
    </xf>
    <xf numFmtId="44" fontId="20" fillId="0" borderId="32" xfId="3" applyFont="1" applyBorder="1" applyAlignment="1"/>
    <xf numFmtId="167" fontId="20" fillId="0" borderId="32" xfId="0" applyNumberFormat="1" applyFont="1" applyBorder="1" applyAlignment="1">
      <alignment horizontal="right"/>
    </xf>
    <xf numFmtId="1" fontId="12" fillId="0" borderId="1" xfId="0" applyNumberFormat="1" applyFont="1" applyBorder="1" applyAlignment="1">
      <alignment horizontal="center" wrapText="1"/>
    </xf>
    <xf numFmtId="168" fontId="20" fillId="5" borderId="6" xfId="3" applyNumberFormat="1" applyFont="1" applyFill="1" applyBorder="1" applyAlignment="1">
      <alignment horizontal="right"/>
    </xf>
    <xf numFmtId="1" fontId="4" fillId="0" borderId="0" xfId="1" applyNumberFormat="1" applyFont="1" applyFill="1" applyBorder="1" applyAlignment="1">
      <alignment horizontal="left" vertical="center"/>
    </xf>
    <xf numFmtId="0" fontId="12" fillId="0" borderId="1" xfId="0" applyFont="1" applyBorder="1" applyAlignment="1">
      <alignment horizontal="left" indent="1"/>
    </xf>
    <xf numFmtId="0" fontId="12" fillId="0" borderId="4" xfId="0" applyFont="1" applyBorder="1" applyAlignment="1">
      <alignment horizontal="center" wrapText="1"/>
    </xf>
    <xf numFmtId="0" fontId="4" fillId="0" borderId="0" xfId="0" applyFont="1" applyAlignment="1">
      <alignment vertical="center" wrapText="1"/>
    </xf>
    <xf numFmtId="0" fontId="40" fillId="0" borderId="0" xfId="0" applyFont="1"/>
    <xf numFmtId="44" fontId="18" fillId="0" borderId="0" xfId="3" applyFont="1"/>
    <xf numFmtId="0" fontId="18" fillId="0" borderId="6" xfId="0" applyFont="1" applyBorder="1"/>
    <xf numFmtId="0" fontId="18" fillId="0" borderId="6" xfId="0" applyFont="1" applyBorder="1" applyAlignment="1">
      <alignment horizontal="center" wrapText="1"/>
    </xf>
    <xf numFmtId="0" fontId="18" fillId="6" borderId="6" xfId="0" applyFont="1" applyFill="1" applyBorder="1"/>
    <xf numFmtId="0" fontId="0" fillId="6" borderId="6" xfId="0" applyFill="1" applyBorder="1"/>
    <xf numFmtId="44" fontId="18" fillId="6" borderId="6" xfId="0" applyNumberFormat="1" applyFont="1" applyFill="1" applyBorder="1"/>
    <xf numFmtId="44" fontId="0" fillId="0" borderId="6" xfId="3" applyFont="1" applyBorder="1"/>
    <xf numFmtId="44" fontId="0" fillId="0" borderId="6" xfId="0" applyNumberFormat="1" applyBorder="1"/>
    <xf numFmtId="0" fontId="0" fillId="0" borderId="6" xfId="0" applyBorder="1" applyAlignment="1">
      <alignment wrapText="1"/>
    </xf>
    <xf numFmtId="6" fontId="0" fillId="0" borderId="6" xfId="0" applyNumberFormat="1" applyBorder="1"/>
    <xf numFmtId="0" fontId="18" fillId="6" borderId="6" xfId="0" applyFont="1" applyFill="1" applyBorder="1" applyAlignment="1">
      <alignment wrapText="1"/>
    </xf>
    <xf numFmtId="44" fontId="18" fillId="6" borderId="6" xfId="3" applyFont="1" applyFill="1" applyBorder="1"/>
    <xf numFmtId="0" fontId="0" fillId="0" borderId="6" xfId="0" applyBorder="1"/>
    <xf numFmtId="0" fontId="18" fillId="7" borderId="6" xfId="0" applyFont="1" applyFill="1" applyBorder="1" applyAlignment="1">
      <alignment horizontal="left" wrapText="1"/>
    </xf>
    <xf numFmtId="44" fontId="18" fillId="7" borderId="6" xfId="3" applyFont="1" applyFill="1" applyBorder="1"/>
    <xf numFmtId="165" fontId="12" fillId="0" borderId="1" xfId="0" applyNumberFormat="1" applyFont="1" applyBorder="1"/>
    <xf numFmtId="9" fontId="12" fillId="0" borderId="1" xfId="2" applyFont="1" applyBorder="1"/>
    <xf numFmtId="2" fontId="11" fillId="0" borderId="12" xfId="0" applyNumberFormat="1" applyFont="1" applyBorder="1" applyAlignment="1">
      <alignment horizontal="right"/>
    </xf>
    <xf numFmtId="2" fontId="11" fillId="0" borderId="12" xfId="0" applyNumberFormat="1" applyFont="1" applyBorder="1"/>
    <xf numFmtId="0" fontId="0" fillId="0" borderId="0" xfId="0" applyAlignment="1">
      <alignment horizontal="left"/>
    </xf>
    <xf numFmtId="14" fontId="0" fillId="0" borderId="0" xfId="0" applyNumberFormat="1"/>
    <xf numFmtId="14" fontId="12" fillId="0" borderId="0" xfId="0" applyNumberFormat="1" applyFont="1"/>
    <xf numFmtId="0" fontId="12" fillId="0" borderId="1" xfId="0" quotePrefix="1" applyFont="1" applyBorder="1" applyAlignment="1">
      <alignment horizontal="center" wrapText="1"/>
    </xf>
    <xf numFmtId="14" fontId="12" fillId="0" borderId="1" xfId="0" applyNumberFormat="1" applyFont="1" applyBorder="1"/>
    <xf numFmtId="165" fontId="11" fillId="0" borderId="10" xfId="3" applyNumberFormat="1" applyFont="1" applyFill="1" applyBorder="1" applyAlignment="1">
      <alignment vertical="center"/>
    </xf>
    <xf numFmtId="0" fontId="0" fillId="0" borderId="33" xfId="0" applyBorder="1"/>
    <xf numFmtId="44" fontId="0" fillId="0" borderId="33" xfId="3" applyFont="1" applyBorder="1"/>
    <xf numFmtId="44" fontId="42" fillId="0" borderId="33" xfId="0" applyNumberFormat="1" applyFont="1" applyBorder="1"/>
    <xf numFmtId="44" fontId="0" fillId="0" borderId="33" xfId="0" applyNumberFormat="1" applyBorder="1"/>
    <xf numFmtId="0" fontId="4" fillId="0" borderId="0" xfId="0" applyFont="1" applyAlignment="1">
      <alignment horizontal="left" vertical="center" wrapText="1"/>
    </xf>
    <xf numFmtId="0" fontId="0" fillId="0" borderId="0" xfId="0" applyAlignment="1">
      <alignment horizontal="center"/>
    </xf>
    <xf numFmtId="0" fontId="19" fillId="0" borderId="0" xfId="0" applyFont="1" applyAlignment="1">
      <alignment horizontal="left" vertical="center"/>
    </xf>
    <xf numFmtId="0" fontId="4" fillId="0" borderId="19" xfId="0" applyFont="1" applyBorder="1" applyAlignment="1">
      <alignment horizontal="left"/>
    </xf>
    <xf numFmtId="0" fontId="4" fillId="0" borderId="19" xfId="0" applyFont="1" applyBorder="1" applyAlignment="1">
      <alignment horizontal="left" vertical="top" wrapText="1"/>
    </xf>
    <xf numFmtId="0" fontId="7" fillId="0" borderId="19" xfId="0" applyFont="1" applyBorder="1" applyAlignment="1">
      <alignment horizontal="left" vertical="center" wrapText="1"/>
    </xf>
    <xf numFmtId="0" fontId="26" fillId="0" borderId="0" xfId="0" applyFont="1" applyAlignment="1">
      <alignment horizontal="center" vertical="center"/>
    </xf>
    <xf numFmtId="0" fontId="7" fillId="0" borderId="0" xfId="0" applyFont="1" applyAlignment="1">
      <alignment horizontal="left" vertical="center"/>
    </xf>
    <xf numFmtId="0" fontId="20" fillId="0" borderId="19" xfId="0" applyFont="1" applyBorder="1" applyAlignment="1">
      <alignment horizontal="left" vertical="center" wrapText="1"/>
    </xf>
    <xf numFmtId="0" fontId="7" fillId="0" borderId="21" xfId="0" applyFont="1" applyBorder="1" applyAlignment="1">
      <alignment horizontal="left" vertical="center" wrapText="1"/>
    </xf>
    <xf numFmtId="0" fontId="7" fillId="0" borderId="22" xfId="0" applyFont="1" applyBorder="1" applyAlignment="1">
      <alignment horizontal="left" vertical="center" wrapText="1"/>
    </xf>
    <xf numFmtId="0" fontId="7" fillId="0" borderId="20" xfId="0" applyFont="1" applyBorder="1" applyAlignment="1">
      <alignment horizontal="left" vertical="center" wrapText="1"/>
    </xf>
    <xf numFmtId="0" fontId="7" fillId="0" borderId="19" xfId="0" applyFont="1" applyBorder="1" applyAlignment="1">
      <alignment horizontal="left" vertical="center"/>
    </xf>
    <xf numFmtId="0" fontId="22" fillId="0" borderId="19" xfId="0" applyFont="1" applyBorder="1" applyAlignment="1">
      <alignment horizontal="left" vertical="center"/>
    </xf>
    <xf numFmtId="0" fontId="22" fillId="0" borderId="19" xfId="0" applyFont="1" applyBorder="1" applyAlignment="1">
      <alignment horizontal="left" vertical="center" wrapText="1"/>
    </xf>
    <xf numFmtId="0" fontId="28" fillId="0" borderId="19" xfId="0" applyFont="1" applyBorder="1" applyAlignment="1">
      <alignment wrapText="1"/>
    </xf>
    <xf numFmtId="0" fontId="25" fillId="0" borderId="0" xfId="4" applyAlignment="1">
      <alignment horizontal="left" vertical="center"/>
    </xf>
    <xf numFmtId="0" fontId="7" fillId="0" borderId="0" xfId="0" applyFont="1" applyAlignment="1">
      <alignment horizontal="center" vertical="center"/>
    </xf>
    <xf numFmtId="0" fontId="39" fillId="0" borderId="19" xfId="4" applyFont="1" applyBorder="1" applyAlignment="1">
      <alignment horizontal="left" vertical="center"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20" xfId="0" applyFont="1" applyBorder="1" applyAlignment="1">
      <alignment horizontal="left" wrapText="1"/>
    </xf>
    <xf numFmtId="0" fontId="23" fillId="0" borderId="19" xfId="0" applyFont="1" applyBorder="1" applyAlignment="1">
      <alignment horizontal="left" vertical="center" wrapText="1"/>
    </xf>
    <xf numFmtId="0" fontId="17" fillId="0" borderId="0" xfId="0" applyFont="1" applyAlignment="1">
      <alignment horizontal="center" vertical="center"/>
    </xf>
    <xf numFmtId="0" fontId="4" fillId="0" borderId="0" xfId="0" applyFont="1" applyAlignment="1">
      <alignment horizontal="left" vertical="center"/>
    </xf>
    <xf numFmtId="0" fontId="17" fillId="0" borderId="0" xfId="0" applyFont="1" applyAlignment="1">
      <alignment horizontal="left" vertical="center"/>
    </xf>
    <xf numFmtId="0" fontId="2" fillId="0" borderId="0" xfId="0" applyFont="1" applyAlignment="1">
      <alignment horizontal="left" vertical="center"/>
    </xf>
    <xf numFmtId="0" fontId="17" fillId="0" borderId="0" xfId="0" applyFont="1" applyAlignment="1">
      <alignment horizontal="left" vertical="center" wrapText="1"/>
    </xf>
    <xf numFmtId="0" fontId="41" fillId="0" borderId="0" xfId="0" applyFont="1" applyAlignment="1">
      <alignment wrapText="1"/>
    </xf>
    <xf numFmtId="0" fontId="41" fillId="0" borderId="0" xfId="0" applyFont="1"/>
    <xf numFmtId="0" fontId="16" fillId="0" borderId="0" xfId="0" applyFont="1" applyAlignment="1">
      <alignment horizontal="left" vertical="center"/>
    </xf>
    <xf numFmtId="0" fontId="12" fillId="0" borderId="0" xfId="0" applyFont="1" applyAlignment="1">
      <alignment horizontal="right"/>
    </xf>
    <xf numFmtId="0" fontId="15" fillId="0" borderId="3" xfId="0" applyFont="1" applyBorder="1" applyAlignment="1">
      <alignment horizontal="left"/>
    </xf>
    <xf numFmtId="0" fontId="15" fillId="0" borderId="4" xfId="0" applyFont="1" applyBorder="1" applyAlignment="1">
      <alignment horizontal="left"/>
    </xf>
    <xf numFmtId="0" fontId="15" fillId="0" borderId="5" xfId="0" applyFont="1" applyBorder="1" applyAlignment="1">
      <alignment horizontal="left"/>
    </xf>
    <xf numFmtId="0" fontId="15" fillId="0" borderId="0" xfId="0" applyFont="1" applyAlignment="1">
      <alignment horizontal="center"/>
    </xf>
    <xf numFmtId="0" fontId="12" fillId="0" borderId="0" xfId="0" applyFont="1" applyAlignment="1">
      <alignment horizontal="center"/>
    </xf>
    <xf numFmtId="1" fontId="12" fillId="0" borderId="1" xfId="1" applyNumberFormat="1" applyFont="1" applyFill="1" applyBorder="1" applyAlignment="1">
      <alignment horizontal="left" indent="1"/>
    </xf>
    <xf numFmtId="0" fontId="12" fillId="0" borderId="1" xfId="0" applyFont="1" applyBorder="1" applyAlignment="1">
      <alignment horizontal="left" indent="1"/>
    </xf>
    <xf numFmtId="0" fontId="15" fillId="0" borderId="0" xfId="0" applyFont="1" applyAlignment="1">
      <alignment horizontal="right"/>
    </xf>
    <xf numFmtId="2" fontId="11" fillId="0" borderId="13" xfId="0" applyNumberFormat="1" applyFont="1" applyBorder="1" applyAlignment="1">
      <alignment horizontal="right" vertical="center"/>
    </xf>
    <xf numFmtId="165" fontId="11" fillId="0" borderId="14" xfId="0" applyNumberFormat="1" applyFont="1" applyBorder="1" applyAlignment="1">
      <alignment horizontal="right"/>
    </xf>
    <xf numFmtId="165" fontId="11" fillId="0" borderId="11" xfId="0" applyNumberFormat="1" applyFont="1" applyBorder="1" applyAlignment="1">
      <alignment horizontal="right"/>
    </xf>
    <xf numFmtId="165" fontId="11" fillId="0" borderId="17" xfId="0" applyNumberFormat="1" applyFont="1" applyBorder="1" applyAlignment="1">
      <alignment horizontal="right"/>
    </xf>
    <xf numFmtId="165" fontId="11" fillId="0" borderId="18" xfId="0" applyNumberFormat="1" applyFont="1" applyBorder="1" applyAlignment="1">
      <alignment horizontal="right"/>
    </xf>
    <xf numFmtId="165" fontId="11" fillId="0" borderId="7" xfId="0" applyNumberFormat="1" applyFont="1" applyBorder="1" applyAlignment="1">
      <alignment horizontal="right"/>
    </xf>
    <xf numFmtId="165" fontId="11" fillId="0" borderId="16" xfId="0" applyNumberFormat="1" applyFont="1" applyBorder="1" applyAlignment="1">
      <alignment horizontal="right"/>
    </xf>
    <xf numFmtId="165" fontId="11" fillId="0" borderId="15" xfId="0" applyNumberFormat="1" applyFont="1" applyBorder="1" applyAlignment="1">
      <alignment horizontal="right" vertical="center" wrapText="1"/>
    </xf>
    <xf numFmtId="165" fontId="11" fillId="0" borderId="8" xfId="0" applyNumberFormat="1" applyFont="1" applyBorder="1" applyAlignment="1">
      <alignment horizontal="right" vertical="center" wrapText="1"/>
    </xf>
    <xf numFmtId="165" fontId="11" fillId="0" borderId="7" xfId="0" applyNumberFormat="1" applyFont="1" applyBorder="1" applyAlignment="1">
      <alignment horizontal="right" vertical="center" wrapText="1"/>
    </xf>
    <xf numFmtId="165" fontId="11" fillId="0" borderId="16" xfId="0" applyNumberFormat="1" applyFont="1" applyBorder="1" applyAlignment="1">
      <alignment horizontal="right" vertical="center" wrapText="1"/>
    </xf>
    <xf numFmtId="0" fontId="8" fillId="2" borderId="7" xfId="0" applyFont="1" applyFill="1" applyBorder="1" applyAlignment="1">
      <alignment horizontal="center" vertical="center"/>
    </xf>
    <xf numFmtId="0" fontId="9" fillId="2" borderId="7" xfId="0" applyFont="1" applyFill="1" applyBorder="1" applyAlignment="1">
      <alignment horizontal="center" vertical="center"/>
    </xf>
    <xf numFmtId="2" fontId="36" fillId="0" borderId="25" xfId="0" applyNumberFormat="1" applyFont="1" applyBorder="1" applyAlignment="1">
      <alignment horizontal="center" vertical="center"/>
    </xf>
    <xf numFmtId="2" fontId="36" fillId="0" borderId="6" xfId="0" applyNumberFormat="1" applyFont="1" applyBorder="1" applyAlignment="1">
      <alignment horizontal="center" vertical="center"/>
    </xf>
    <xf numFmtId="0" fontId="37" fillId="0" borderId="30" xfId="0" applyFont="1" applyBorder="1" applyAlignment="1">
      <alignment horizontal="center"/>
    </xf>
    <xf numFmtId="0" fontId="37" fillId="0" borderId="0" xfId="0" applyFont="1" applyAlignment="1">
      <alignment horizontal="center"/>
    </xf>
    <xf numFmtId="0" fontId="37" fillId="0" borderId="31" xfId="0" applyFont="1" applyBorder="1" applyAlignment="1">
      <alignment horizontal="center"/>
    </xf>
    <xf numFmtId="44" fontId="37" fillId="0" borderId="28" xfId="0" applyNumberFormat="1" applyFont="1" applyBorder="1" applyAlignment="1">
      <alignment horizontal="center"/>
    </xf>
    <xf numFmtId="0" fontId="37" fillId="0" borderId="27" xfId="0" applyFont="1" applyBorder="1" applyAlignment="1">
      <alignment horizontal="center"/>
    </xf>
    <xf numFmtId="0" fontId="37" fillId="0" borderId="29" xfId="0" applyFont="1" applyBorder="1" applyAlignment="1">
      <alignment horizontal="center"/>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9" fillId="0" borderId="25"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2" fontId="36" fillId="0" borderId="25" xfId="0" applyNumberFormat="1" applyFont="1" applyBorder="1" applyAlignment="1">
      <alignment horizontal="center" vertical="center" wrapText="1"/>
    </xf>
    <xf numFmtId="2" fontId="36" fillId="0" borderId="6" xfId="0" applyNumberFormat="1" applyFont="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25" xfId="0" applyFont="1" applyBorder="1" applyAlignment="1">
      <alignment horizontal="center" vertical="center" wrapText="1"/>
    </xf>
    <xf numFmtId="0" fontId="30" fillId="0" borderId="0" xfId="0" applyFont="1" applyAlignment="1">
      <alignment horizontal="center"/>
    </xf>
    <xf numFmtId="0" fontId="31" fillId="0" borderId="0" xfId="0" applyFont="1" applyAlignment="1">
      <alignment horizontal="center"/>
    </xf>
    <xf numFmtId="0" fontId="9" fillId="0" borderId="4" xfId="0" applyFont="1" applyBorder="1" applyAlignment="1">
      <alignment horizontal="center"/>
    </xf>
    <xf numFmtId="0" fontId="20" fillId="0" borderId="4" xfId="0" applyFont="1" applyBorder="1" applyAlignment="1">
      <alignment horizontal="center"/>
    </xf>
    <xf numFmtId="0" fontId="33" fillId="0" borderId="1" xfId="0" applyFont="1" applyBorder="1" applyAlignment="1">
      <alignment horizontal="center"/>
    </xf>
    <xf numFmtId="1" fontId="20" fillId="0" borderId="1" xfId="0" applyNumberFormat="1" applyFont="1" applyBorder="1" applyAlignment="1">
      <alignment horizontal="center"/>
    </xf>
    <xf numFmtId="0" fontId="20" fillId="0" borderId="1" xfId="0" applyFont="1"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8" fillId="2" borderId="19" xfId="0" applyFont="1" applyFill="1" applyBorder="1" applyAlignment="1">
      <alignment horizontal="center"/>
    </xf>
    <xf numFmtId="0" fontId="10" fillId="4" borderId="19" xfId="0" applyFont="1" applyFill="1" applyBorder="1" applyAlignment="1">
      <alignment horizontal="center" vertical="center" wrapText="1"/>
    </xf>
    <xf numFmtId="0" fontId="43" fillId="0" borderId="0" xfId="0" applyFont="1"/>
    <xf numFmtId="165" fontId="43" fillId="0" borderId="0" xfId="0" applyNumberFormat="1" applyFont="1"/>
    <xf numFmtId="0" fontId="44" fillId="0" borderId="0" xfId="0" applyFont="1"/>
    <xf numFmtId="165" fontId="44" fillId="0" borderId="0" xfId="0" applyNumberFormat="1" applyFont="1"/>
    <xf numFmtId="0" fontId="25" fillId="0" borderId="0" xfId="4"/>
    <xf numFmtId="0" fontId="45" fillId="0" borderId="0" xfId="0" applyFont="1"/>
    <xf numFmtId="0" fontId="46" fillId="0" borderId="0" xfId="0" applyFont="1"/>
    <xf numFmtId="0" fontId="47" fillId="0" borderId="0" xfId="0" applyFont="1"/>
    <xf numFmtId="15" fontId="47" fillId="0" borderId="0" xfId="0" applyNumberFormat="1" applyFont="1"/>
    <xf numFmtId="0" fontId="48" fillId="0" borderId="0" xfId="0" applyFont="1"/>
    <xf numFmtId="0" fontId="50" fillId="0" borderId="0" xfId="0" applyFont="1"/>
    <xf numFmtId="0" fontId="45" fillId="0" borderId="0" xfId="0" applyFont="1"/>
    <xf numFmtId="0" fontId="46" fillId="0" borderId="0" xfId="0" applyFont="1"/>
    <xf numFmtId="0" fontId="25" fillId="0" borderId="0" xfId="4"/>
    <xf numFmtId="0" fontId="48" fillId="0" borderId="0" xfId="0" applyFont="1"/>
    <xf numFmtId="0" fontId="51" fillId="0" borderId="0" xfId="0" applyFont="1"/>
  </cellXfs>
  <cellStyles count="5">
    <cellStyle name="Comma" xfId="1" builtinId="3"/>
    <cellStyle name="Currency" xfId="3" builtinId="4"/>
    <cellStyle name="Hyperlink" xfId="4" builtinId="8"/>
    <cellStyle name="Normal" xfId="0" builtinId="0"/>
    <cellStyle name="Percent" xfId="2" builtinId="5"/>
  </cellStyles>
  <dxfs count="0"/>
  <tableStyles count="0" defaultTableStyle="TableStyleMedium2" defaultPivotStyle="PivotStyleLight16"/>
  <colors>
    <mruColors>
      <color rgb="FF4352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28541</xdr:colOff>
      <xdr:row>0</xdr:row>
      <xdr:rowOff>28539</xdr:rowOff>
    </xdr:from>
    <xdr:to>
      <xdr:col>0</xdr:col>
      <xdr:colOff>1769439</xdr:colOff>
      <xdr:row>2</xdr:row>
      <xdr:rowOff>171573</xdr:rowOff>
    </xdr:to>
    <xdr:pic>
      <xdr:nvPicPr>
        <xdr:cNvPr id="3" name="Picture 2">
          <a:extLst>
            <a:ext uri="{FF2B5EF4-FFF2-40B4-BE49-F238E27FC236}">
              <a16:creationId xmlns:a16="http://schemas.microsoft.com/office/drawing/2014/main" id="{3A6AFE13-8583-7D84-7725-2584288F6ABB}"/>
            </a:ext>
          </a:extLst>
        </xdr:cNvPr>
        <xdr:cNvPicPr>
          <a:picLocks noChangeAspect="1"/>
        </xdr:cNvPicPr>
      </xdr:nvPicPr>
      <xdr:blipFill>
        <a:blip xmlns:r="http://schemas.openxmlformats.org/officeDocument/2006/relationships" r:embed="rId1"/>
        <a:stretch>
          <a:fillRect/>
        </a:stretch>
      </xdr:blipFill>
      <xdr:spPr>
        <a:xfrm>
          <a:off x="28541" y="28539"/>
          <a:ext cx="1740898" cy="5140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NYPayables@brwncald.com" TargetMode="External"/><Relationship Id="rId1" Type="http://schemas.openxmlformats.org/officeDocument/2006/relationships/hyperlink" Target="http://www.gsa.gov/portal/content/104877?utm_source=OCM&amp;utm_medium=print-radio&amp;utm_term=HP_01_Requested_perdiem&amp;utm_campaign"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my.freshbooks.com/" TargetMode="External"/><Relationship Id="rId13" Type="http://schemas.openxmlformats.org/officeDocument/2006/relationships/hyperlink" Target="https://my.freshbooks.com/" TargetMode="External"/><Relationship Id="rId18" Type="http://schemas.openxmlformats.org/officeDocument/2006/relationships/hyperlink" Target="https://my.freshbooks.com/" TargetMode="External"/><Relationship Id="rId26" Type="http://schemas.openxmlformats.org/officeDocument/2006/relationships/hyperlink" Target="https://my.freshbooks.com/" TargetMode="External"/><Relationship Id="rId3" Type="http://schemas.openxmlformats.org/officeDocument/2006/relationships/hyperlink" Target="https://my.freshbooks.com/" TargetMode="External"/><Relationship Id="rId21" Type="http://schemas.openxmlformats.org/officeDocument/2006/relationships/hyperlink" Target="https://my.freshbooks.com/" TargetMode="External"/><Relationship Id="rId7" Type="http://schemas.openxmlformats.org/officeDocument/2006/relationships/hyperlink" Target="https://my.freshbooks.com/" TargetMode="External"/><Relationship Id="rId12" Type="http://schemas.openxmlformats.org/officeDocument/2006/relationships/hyperlink" Target="https://my.freshbooks.com/" TargetMode="External"/><Relationship Id="rId17" Type="http://schemas.openxmlformats.org/officeDocument/2006/relationships/hyperlink" Target="https://my.freshbooks.com/" TargetMode="External"/><Relationship Id="rId25" Type="http://schemas.openxmlformats.org/officeDocument/2006/relationships/hyperlink" Target="https://my.freshbooks.com/" TargetMode="External"/><Relationship Id="rId2" Type="http://schemas.openxmlformats.org/officeDocument/2006/relationships/hyperlink" Target="https://my.freshbooks.com/" TargetMode="External"/><Relationship Id="rId16" Type="http://schemas.openxmlformats.org/officeDocument/2006/relationships/hyperlink" Target="https://my.freshbooks.com/" TargetMode="External"/><Relationship Id="rId20" Type="http://schemas.openxmlformats.org/officeDocument/2006/relationships/hyperlink" Target="https://my.freshbooks.com/" TargetMode="External"/><Relationship Id="rId1" Type="http://schemas.openxmlformats.org/officeDocument/2006/relationships/hyperlink" Target="https://my.freshbooks.com/" TargetMode="External"/><Relationship Id="rId6" Type="http://schemas.openxmlformats.org/officeDocument/2006/relationships/hyperlink" Target="https://my.freshbooks.com/" TargetMode="External"/><Relationship Id="rId11" Type="http://schemas.openxmlformats.org/officeDocument/2006/relationships/hyperlink" Target="https://my.freshbooks.com/" TargetMode="External"/><Relationship Id="rId24" Type="http://schemas.openxmlformats.org/officeDocument/2006/relationships/hyperlink" Target="https://my.freshbooks.com/" TargetMode="External"/><Relationship Id="rId5" Type="http://schemas.openxmlformats.org/officeDocument/2006/relationships/hyperlink" Target="https://my.freshbooks.com/" TargetMode="External"/><Relationship Id="rId15" Type="http://schemas.openxmlformats.org/officeDocument/2006/relationships/hyperlink" Target="https://my.freshbooks.com/" TargetMode="External"/><Relationship Id="rId23" Type="http://schemas.openxmlformats.org/officeDocument/2006/relationships/hyperlink" Target="https://my.freshbooks.com/" TargetMode="External"/><Relationship Id="rId10" Type="http://schemas.openxmlformats.org/officeDocument/2006/relationships/hyperlink" Target="https://my.freshbooks.com/" TargetMode="External"/><Relationship Id="rId19" Type="http://schemas.openxmlformats.org/officeDocument/2006/relationships/hyperlink" Target="https://my.freshbooks.com/" TargetMode="External"/><Relationship Id="rId4" Type="http://schemas.openxmlformats.org/officeDocument/2006/relationships/hyperlink" Target="https://my.freshbooks.com/" TargetMode="External"/><Relationship Id="rId9" Type="http://schemas.openxmlformats.org/officeDocument/2006/relationships/hyperlink" Target="https://my.freshbooks.com/" TargetMode="External"/><Relationship Id="rId14" Type="http://schemas.openxmlformats.org/officeDocument/2006/relationships/hyperlink" Target="https://my.freshbooks.com/" TargetMode="External"/><Relationship Id="rId22" Type="http://schemas.openxmlformats.org/officeDocument/2006/relationships/hyperlink" Target="https://my.freshbooks.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23C7A-38E2-4CBB-9F23-5EED9AAEB37A}">
  <dimension ref="A1:AL52"/>
  <sheetViews>
    <sheetView view="pageBreakPreview" topLeftCell="A4" zoomScale="186" zoomScaleNormal="100" zoomScaleSheetLayoutView="100" workbookViewId="0">
      <selection activeCell="C32" sqref="C32:M32"/>
    </sheetView>
  </sheetViews>
  <sheetFormatPr baseColWidth="10" defaultColWidth="8.83203125" defaultRowHeight="15"/>
  <cols>
    <col min="1" max="3" width="2.5" customWidth="1"/>
    <col min="10" max="10" width="8.83203125" customWidth="1"/>
    <col min="11" max="11" width="9.5" customWidth="1"/>
    <col min="12" max="12" width="10.5" customWidth="1"/>
    <col min="13" max="13" width="15.83203125" customWidth="1"/>
    <col min="14" max="14" width="18.5" customWidth="1"/>
  </cols>
  <sheetData>
    <row r="1" spans="1:38" ht="9" customHeight="1">
      <c r="A1" s="149"/>
      <c r="B1" s="149"/>
      <c r="C1" s="149"/>
      <c r="D1" s="149"/>
      <c r="E1" s="149"/>
      <c r="F1" s="149"/>
      <c r="G1" s="149"/>
      <c r="H1" s="149"/>
      <c r="I1" s="149"/>
      <c r="J1" s="149"/>
      <c r="K1" s="149"/>
      <c r="L1" s="149"/>
      <c r="M1" s="149"/>
    </row>
    <row r="2" spans="1:38" ht="20.5" customHeight="1">
      <c r="A2" s="154" t="s">
        <v>63</v>
      </c>
      <c r="B2" s="154"/>
      <c r="C2" s="154"/>
      <c r="D2" s="154"/>
      <c r="E2" s="154"/>
      <c r="F2" s="154"/>
      <c r="G2" s="154"/>
      <c r="H2" s="154"/>
      <c r="I2" s="154"/>
      <c r="J2" s="154"/>
      <c r="K2" s="154"/>
      <c r="L2" s="154"/>
      <c r="M2" s="154"/>
    </row>
    <row r="3" spans="1:38" ht="9.5" customHeight="1">
      <c r="A3" s="149"/>
      <c r="B3" s="149"/>
      <c r="C3" s="149"/>
      <c r="D3" s="149"/>
      <c r="E3" s="149"/>
      <c r="F3" s="149"/>
      <c r="G3" s="149"/>
      <c r="H3" s="149"/>
      <c r="I3" s="149"/>
      <c r="J3" s="149"/>
      <c r="K3" s="149"/>
      <c r="L3" s="149"/>
      <c r="M3" s="149"/>
    </row>
    <row r="4" spans="1:38" ht="17">
      <c r="A4" s="150" t="s">
        <v>60</v>
      </c>
      <c r="B4" s="150"/>
      <c r="C4" s="150"/>
      <c r="D4" s="150"/>
      <c r="E4" s="150"/>
      <c r="F4" s="150"/>
      <c r="G4" s="150"/>
      <c r="H4" s="150"/>
      <c r="I4" s="150"/>
      <c r="J4" s="150"/>
      <c r="K4" s="150"/>
      <c r="L4" s="150"/>
      <c r="M4" s="150"/>
    </row>
    <row r="5" spans="1:38" ht="12" customHeight="1">
      <c r="A5" s="155" t="s">
        <v>27</v>
      </c>
      <c r="B5" s="155"/>
      <c r="C5" s="155"/>
      <c r="D5" s="155"/>
      <c r="E5" s="155"/>
      <c r="F5" s="155"/>
      <c r="G5" s="155"/>
      <c r="H5" s="155"/>
      <c r="I5" s="155"/>
      <c r="J5" s="155"/>
      <c r="K5" s="155"/>
      <c r="L5" s="155"/>
      <c r="M5" s="155"/>
    </row>
    <row r="6" spans="1:38" ht="13.5" customHeight="1">
      <c r="A6" s="155" t="s">
        <v>64</v>
      </c>
      <c r="B6" s="155"/>
      <c r="C6" s="155"/>
      <c r="D6" s="155"/>
      <c r="E6" s="155"/>
      <c r="F6" s="155"/>
      <c r="G6" s="155"/>
      <c r="H6" s="155"/>
      <c r="I6" s="155"/>
      <c r="J6" s="155"/>
      <c r="K6" s="155"/>
      <c r="L6" s="155"/>
      <c r="M6" s="155"/>
    </row>
    <row r="7" spans="1:38" ht="14.25" customHeight="1">
      <c r="A7" s="164" t="s">
        <v>65</v>
      </c>
      <c r="B7" s="164"/>
      <c r="C7" s="164"/>
      <c r="D7" s="164"/>
      <c r="E7" s="164"/>
      <c r="F7" s="164"/>
      <c r="G7" s="164"/>
      <c r="H7" s="164"/>
      <c r="I7" s="164"/>
      <c r="J7" s="164"/>
      <c r="K7" s="164"/>
      <c r="L7" s="164"/>
      <c r="M7" s="164"/>
    </row>
    <row r="8" spans="1:38" ht="9" customHeight="1">
      <c r="A8" s="165"/>
      <c r="B8" s="165"/>
      <c r="C8" s="165"/>
      <c r="D8" s="165"/>
      <c r="E8" s="165"/>
      <c r="F8" s="165"/>
      <c r="G8" s="165"/>
      <c r="H8" s="165"/>
      <c r="I8" s="165"/>
      <c r="J8" s="165"/>
      <c r="K8" s="165"/>
      <c r="L8" s="165"/>
      <c r="M8" s="165"/>
      <c r="Q8" s="55"/>
      <c r="R8" s="55"/>
      <c r="S8" s="55"/>
      <c r="T8" s="55"/>
      <c r="U8" s="55"/>
      <c r="V8" s="55"/>
      <c r="W8" s="55"/>
      <c r="X8" s="55"/>
      <c r="Y8" s="55"/>
    </row>
    <row r="9" spans="1:38" ht="17">
      <c r="A9" s="150" t="s">
        <v>61</v>
      </c>
      <c r="B9" s="150"/>
      <c r="C9" s="150"/>
      <c r="D9" s="150"/>
      <c r="E9" s="150"/>
      <c r="F9" s="150"/>
      <c r="G9" s="150"/>
      <c r="H9" s="150"/>
      <c r="I9" s="150"/>
      <c r="J9" s="150"/>
      <c r="K9" s="150"/>
      <c r="L9" s="150"/>
      <c r="M9" s="150"/>
    </row>
    <row r="10" spans="1:38" ht="5.5" customHeight="1">
      <c r="A10" s="46"/>
    </row>
    <row r="11" spans="1:38" ht="46.25" customHeight="1">
      <c r="A11" s="56">
        <v>1</v>
      </c>
      <c r="B11" s="156" t="s">
        <v>129</v>
      </c>
      <c r="C11" s="156"/>
      <c r="D11" s="156"/>
      <c r="E11" s="156"/>
      <c r="F11" s="156"/>
      <c r="G11" s="156"/>
      <c r="H11" s="156"/>
      <c r="I11" s="156"/>
      <c r="J11" s="156"/>
      <c r="K11" s="156"/>
      <c r="L11" s="156"/>
      <c r="M11" s="156"/>
    </row>
    <row r="12" spans="1:38" ht="47" customHeight="1">
      <c r="A12" s="56">
        <v>2</v>
      </c>
      <c r="B12" s="153" t="s">
        <v>78</v>
      </c>
      <c r="C12" s="153"/>
      <c r="D12" s="153"/>
      <c r="E12" s="153"/>
      <c r="F12" s="153"/>
      <c r="G12" s="153"/>
      <c r="H12" s="153"/>
      <c r="I12" s="153"/>
      <c r="J12" s="153"/>
      <c r="K12" s="153"/>
      <c r="L12" s="153"/>
      <c r="M12" s="153"/>
      <c r="N12" s="54"/>
      <c r="O12" s="50"/>
      <c r="P12" s="50"/>
      <c r="Q12" s="50"/>
      <c r="R12" s="50"/>
      <c r="S12" s="50"/>
      <c r="T12" s="50"/>
      <c r="U12" s="50"/>
      <c r="V12" s="50"/>
      <c r="W12" s="50"/>
      <c r="X12" s="50"/>
      <c r="Y12" s="50"/>
      <c r="Z12" s="50"/>
      <c r="AA12" s="50"/>
      <c r="AB12" s="50"/>
      <c r="AC12" s="50"/>
      <c r="AD12" s="50"/>
      <c r="AE12" s="50"/>
      <c r="AF12" s="50"/>
      <c r="AG12" s="50"/>
      <c r="AH12" s="50"/>
      <c r="AI12" s="50"/>
      <c r="AJ12" s="50"/>
      <c r="AK12" s="50"/>
      <c r="AL12" s="50"/>
    </row>
    <row r="13" spans="1:38" ht="35.25" customHeight="1">
      <c r="A13" s="56">
        <v>3</v>
      </c>
      <c r="B13" s="157" t="s">
        <v>79</v>
      </c>
      <c r="C13" s="158"/>
      <c r="D13" s="158"/>
      <c r="E13" s="158"/>
      <c r="F13" s="158"/>
      <c r="G13" s="158"/>
      <c r="H13" s="158"/>
      <c r="I13" s="158"/>
      <c r="J13" s="158"/>
      <c r="K13" s="158"/>
      <c r="L13" s="158"/>
      <c r="M13" s="159"/>
      <c r="N13" s="54"/>
      <c r="O13" s="50"/>
      <c r="P13" s="50"/>
      <c r="Q13" s="50"/>
      <c r="R13" s="50"/>
      <c r="S13" s="50"/>
      <c r="T13" s="50"/>
      <c r="U13" s="50"/>
      <c r="V13" s="50"/>
      <c r="W13" s="50"/>
      <c r="X13" s="50"/>
      <c r="Y13" s="50"/>
      <c r="Z13" s="50"/>
      <c r="AA13" s="50"/>
      <c r="AB13" s="50"/>
      <c r="AC13" s="50"/>
      <c r="AD13" s="50"/>
      <c r="AE13" s="50"/>
      <c r="AF13" s="50"/>
      <c r="AG13" s="50"/>
      <c r="AH13" s="50"/>
      <c r="AI13" s="50"/>
      <c r="AJ13" s="50"/>
      <c r="AK13" s="50"/>
      <c r="AL13" s="50"/>
    </row>
    <row r="14" spans="1:38">
      <c r="A14" s="56"/>
      <c r="B14" s="71"/>
      <c r="C14" s="158" t="s">
        <v>92</v>
      </c>
      <c r="D14" s="158"/>
      <c r="E14" s="158"/>
      <c r="F14" s="158"/>
      <c r="G14" s="158"/>
      <c r="H14" s="158"/>
      <c r="I14" s="158"/>
      <c r="J14" s="158"/>
      <c r="K14" s="158"/>
      <c r="L14" s="158"/>
      <c r="M14" s="159"/>
      <c r="N14" s="54"/>
      <c r="O14" s="50"/>
      <c r="P14" s="50"/>
      <c r="Q14" s="50"/>
      <c r="R14" s="50"/>
      <c r="S14" s="50"/>
      <c r="T14" s="50"/>
      <c r="U14" s="50"/>
      <c r="V14" s="50"/>
      <c r="W14" s="50"/>
      <c r="X14" s="50"/>
      <c r="Y14" s="50"/>
      <c r="Z14" s="50"/>
      <c r="AA14" s="50"/>
      <c r="AB14" s="50"/>
      <c r="AC14" s="50"/>
      <c r="AD14" s="50"/>
      <c r="AE14" s="50"/>
      <c r="AF14" s="50"/>
      <c r="AG14" s="50"/>
      <c r="AH14" s="50"/>
      <c r="AI14" s="50"/>
      <c r="AJ14" s="50"/>
      <c r="AK14" s="50"/>
      <c r="AL14" s="50"/>
    </row>
    <row r="15" spans="1:38">
      <c r="A15" s="56"/>
      <c r="B15" s="71"/>
      <c r="C15" s="158" t="s">
        <v>93</v>
      </c>
      <c r="D15" s="158"/>
      <c r="E15" s="158"/>
      <c r="F15" s="158"/>
      <c r="G15" s="158"/>
      <c r="H15" s="158"/>
      <c r="I15" s="158"/>
      <c r="J15" s="158"/>
      <c r="K15" s="158"/>
      <c r="L15" s="158"/>
      <c r="M15" s="159"/>
      <c r="N15" s="54"/>
      <c r="O15" s="50"/>
      <c r="P15" s="50"/>
      <c r="Q15" s="50"/>
      <c r="R15" s="50"/>
      <c r="S15" s="50"/>
      <c r="T15" s="50"/>
      <c r="U15" s="50"/>
      <c r="V15" s="50"/>
      <c r="W15" s="50"/>
      <c r="X15" s="50"/>
      <c r="Y15" s="50"/>
      <c r="Z15" s="50"/>
      <c r="AA15" s="50"/>
      <c r="AB15" s="50"/>
      <c r="AC15" s="50"/>
      <c r="AD15" s="50"/>
      <c r="AE15" s="50"/>
      <c r="AF15" s="50"/>
      <c r="AG15" s="50"/>
      <c r="AH15" s="50"/>
      <c r="AI15" s="50"/>
      <c r="AJ15" s="50"/>
      <c r="AK15" s="50"/>
      <c r="AL15" s="50"/>
    </row>
    <row r="16" spans="1:38">
      <c r="A16" s="56"/>
      <c r="B16" s="71"/>
      <c r="C16" s="158" t="s">
        <v>94</v>
      </c>
      <c r="D16" s="158"/>
      <c r="E16" s="158"/>
      <c r="F16" s="158"/>
      <c r="G16" s="158"/>
      <c r="H16" s="158"/>
      <c r="I16" s="158"/>
      <c r="J16" s="158"/>
      <c r="K16" s="158"/>
      <c r="L16" s="158"/>
      <c r="M16" s="159"/>
      <c r="N16" s="54"/>
      <c r="O16" s="50"/>
      <c r="P16" s="50"/>
      <c r="Q16" s="50"/>
      <c r="R16" s="50"/>
      <c r="S16" s="50"/>
      <c r="T16" s="50"/>
      <c r="U16" s="50"/>
      <c r="V16" s="50"/>
      <c r="W16" s="50"/>
      <c r="X16" s="50"/>
      <c r="Y16" s="50"/>
      <c r="Z16" s="50"/>
      <c r="AA16" s="50"/>
      <c r="AB16" s="50"/>
      <c r="AC16" s="50"/>
      <c r="AD16" s="50"/>
      <c r="AE16" s="50"/>
      <c r="AF16" s="50"/>
      <c r="AG16" s="50"/>
      <c r="AH16" s="50"/>
      <c r="AI16" s="50"/>
      <c r="AJ16" s="50"/>
      <c r="AK16" s="50"/>
      <c r="AL16" s="50"/>
    </row>
    <row r="17" spans="1:38">
      <c r="A17" s="56"/>
      <c r="B17" s="71"/>
      <c r="C17" s="158" t="s">
        <v>95</v>
      </c>
      <c r="D17" s="158"/>
      <c r="E17" s="158"/>
      <c r="F17" s="158"/>
      <c r="G17" s="158"/>
      <c r="H17" s="158"/>
      <c r="I17" s="158"/>
      <c r="J17" s="158"/>
      <c r="K17" s="158"/>
      <c r="L17" s="158"/>
      <c r="M17" s="159"/>
      <c r="N17" s="54"/>
      <c r="O17" s="50"/>
      <c r="P17" s="50"/>
      <c r="Q17" s="50"/>
      <c r="R17" s="50"/>
      <c r="S17" s="50"/>
      <c r="T17" s="50"/>
      <c r="U17" s="50"/>
      <c r="V17" s="50"/>
      <c r="W17" s="50"/>
      <c r="X17" s="50"/>
      <c r="Y17" s="50"/>
      <c r="Z17" s="50"/>
      <c r="AA17" s="50"/>
      <c r="AB17" s="50"/>
      <c r="AC17" s="50"/>
      <c r="AD17" s="50"/>
      <c r="AE17" s="50"/>
      <c r="AF17" s="50"/>
      <c r="AG17" s="50"/>
      <c r="AH17" s="50"/>
      <c r="AI17" s="50"/>
      <c r="AJ17" s="50"/>
      <c r="AK17" s="50"/>
      <c r="AL17" s="50"/>
    </row>
    <row r="18" spans="1:38">
      <c r="A18" s="56"/>
      <c r="B18" s="71"/>
      <c r="C18" s="158" t="s">
        <v>96</v>
      </c>
      <c r="D18" s="158"/>
      <c r="E18" s="158"/>
      <c r="F18" s="158"/>
      <c r="G18" s="158"/>
      <c r="H18" s="158"/>
      <c r="I18" s="158"/>
      <c r="J18" s="158"/>
      <c r="K18" s="158"/>
      <c r="L18" s="158"/>
      <c r="M18" s="159"/>
      <c r="N18" s="54"/>
      <c r="O18" s="50"/>
      <c r="P18" s="50"/>
      <c r="Q18" s="50"/>
      <c r="R18" s="50"/>
      <c r="S18" s="50"/>
      <c r="T18" s="50"/>
      <c r="U18" s="50"/>
      <c r="V18" s="50"/>
      <c r="W18" s="50"/>
      <c r="X18" s="50"/>
      <c r="Y18" s="50"/>
      <c r="Z18" s="50"/>
      <c r="AA18" s="50"/>
      <c r="AB18" s="50"/>
      <c r="AC18" s="50"/>
      <c r="AD18" s="50"/>
      <c r="AE18" s="50"/>
      <c r="AF18" s="50"/>
      <c r="AG18" s="50"/>
      <c r="AH18" s="50"/>
      <c r="AI18" s="50"/>
      <c r="AJ18" s="50"/>
      <c r="AK18" s="50"/>
      <c r="AL18" s="50"/>
    </row>
    <row r="19" spans="1:38" ht="18.5" customHeight="1">
      <c r="A19" s="56">
        <v>4</v>
      </c>
      <c r="B19" s="153" t="s">
        <v>89</v>
      </c>
      <c r="C19" s="153"/>
      <c r="D19" s="153"/>
      <c r="E19" s="153"/>
      <c r="F19" s="153"/>
      <c r="G19" s="153"/>
      <c r="H19" s="153"/>
      <c r="I19" s="153"/>
      <c r="J19" s="153"/>
      <c r="K19" s="153"/>
      <c r="L19" s="153"/>
      <c r="M19" s="153"/>
      <c r="N19" s="49"/>
      <c r="O19" s="50"/>
      <c r="P19" s="50"/>
      <c r="Q19" s="50"/>
      <c r="R19" s="50"/>
      <c r="S19" s="50"/>
      <c r="T19" s="50"/>
      <c r="U19" s="50"/>
      <c r="V19" s="50"/>
      <c r="W19" s="50"/>
      <c r="X19" s="50"/>
      <c r="Y19" s="50"/>
      <c r="Z19" s="50"/>
      <c r="AA19" s="50"/>
      <c r="AB19" s="50"/>
      <c r="AC19" s="50"/>
      <c r="AD19" s="50"/>
      <c r="AE19" s="50"/>
      <c r="AF19" s="50"/>
      <c r="AG19" s="50"/>
      <c r="AH19" s="50"/>
      <c r="AI19" s="50"/>
      <c r="AJ19" s="50"/>
      <c r="AK19" s="50"/>
      <c r="AL19" s="50"/>
    </row>
    <row r="20" spans="1:38" ht="16">
      <c r="A20" s="57"/>
      <c r="B20" s="151" t="s">
        <v>97</v>
      </c>
      <c r="C20" s="151"/>
      <c r="D20" s="151"/>
      <c r="E20" s="151"/>
      <c r="F20" s="151"/>
      <c r="G20" s="151"/>
      <c r="H20" s="151"/>
      <c r="I20" s="151"/>
      <c r="J20" s="151"/>
      <c r="K20" s="151"/>
      <c r="L20" s="151"/>
      <c r="M20" s="151"/>
    </row>
    <row r="21" spans="1:38" ht="16">
      <c r="A21" s="57"/>
      <c r="B21" s="151" t="s">
        <v>80</v>
      </c>
      <c r="C21" s="151"/>
      <c r="D21" s="151"/>
      <c r="E21" s="151"/>
      <c r="F21" s="151"/>
      <c r="G21" s="151"/>
      <c r="H21" s="151"/>
      <c r="I21" s="151"/>
      <c r="J21" s="151"/>
      <c r="K21" s="151"/>
      <c r="L21" s="151"/>
      <c r="M21" s="151"/>
    </row>
    <row r="22" spans="1:38" ht="16">
      <c r="A22" s="57"/>
      <c r="B22" s="58"/>
      <c r="C22" s="151" t="s">
        <v>81</v>
      </c>
      <c r="D22" s="151"/>
      <c r="E22" s="151"/>
      <c r="F22" s="151"/>
      <c r="G22" s="151"/>
      <c r="H22" s="151"/>
      <c r="I22" s="151"/>
      <c r="J22" s="151"/>
      <c r="K22" s="151"/>
      <c r="L22" s="151"/>
      <c r="M22" s="151"/>
    </row>
    <row r="23" spans="1:38" ht="16">
      <c r="A23" s="57"/>
      <c r="B23" s="151" t="s">
        <v>121</v>
      </c>
      <c r="C23" s="151"/>
      <c r="D23" s="151"/>
      <c r="E23" s="151"/>
      <c r="F23" s="151"/>
      <c r="G23" s="151"/>
      <c r="H23" s="151"/>
      <c r="I23" s="151"/>
      <c r="J23" s="151"/>
      <c r="K23" s="151"/>
      <c r="L23" s="151"/>
      <c r="M23" s="151"/>
    </row>
    <row r="24" spans="1:38" ht="48" customHeight="1">
      <c r="A24" s="57"/>
      <c r="B24" s="58"/>
      <c r="C24" s="163" t="s">
        <v>127</v>
      </c>
      <c r="D24" s="163"/>
      <c r="E24" s="163"/>
      <c r="F24" s="163"/>
      <c r="G24" s="163"/>
      <c r="H24" s="163"/>
      <c r="I24" s="163"/>
      <c r="J24" s="163"/>
      <c r="K24" s="163"/>
      <c r="L24" s="163"/>
      <c r="M24" s="163"/>
    </row>
    <row r="25" spans="1:38" ht="16">
      <c r="A25" s="57"/>
      <c r="B25" s="151" t="s">
        <v>126</v>
      </c>
      <c r="C25" s="151"/>
      <c r="D25" s="151"/>
      <c r="E25" s="151"/>
      <c r="F25" s="151"/>
      <c r="G25" s="151"/>
      <c r="H25" s="151"/>
      <c r="I25" s="151"/>
      <c r="J25" s="151"/>
      <c r="K25" s="151"/>
      <c r="L25" s="151"/>
      <c r="M25" s="151"/>
    </row>
    <row r="26" spans="1:38" ht="46.25" customHeight="1">
      <c r="A26" s="57"/>
      <c r="B26" s="59"/>
      <c r="C26" s="152" t="s">
        <v>82</v>
      </c>
      <c r="D26" s="152"/>
      <c r="E26" s="152"/>
      <c r="F26" s="152"/>
      <c r="G26" s="152"/>
      <c r="H26" s="152"/>
      <c r="I26" s="152"/>
      <c r="J26" s="152"/>
      <c r="K26" s="152"/>
      <c r="L26" s="152"/>
      <c r="M26" s="152"/>
    </row>
    <row r="27" spans="1:38" ht="16">
      <c r="A27" s="57"/>
      <c r="B27" s="59"/>
      <c r="C27" s="151" t="s">
        <v>83</v>
      </c>
      <c r="D27" s="151"/>
      <c r="E27" s="151"/>
      <c r="F27" s="151"/>
      <c r="G27" s="151"/>
      <c r="H27" s="151"/>
      <c r="I27" s="151"/>
      <c r="J27" s="151"/>
      <c r="K27" s="151"/>
      <c r="L27" s="151"/>
      <c r="M27" s="151"/>
    </row>
    <row r="28" spans="1:38" ht="16">
      <c r="A28" s="57"/>
      <c r="B28" s="59"/>
      <c r="C28" s="160" t="s">
        <v>84</v>
      </c>
      <c r="D28" s="161"/>
      <c r="E28" s="161"/>
      <c r="F28" s="161"/>
      <c r="G28" s="161"/>
      <c r="H28" s="161"/>
      <c r="I28" s="161"/>
      <c r="J28" s="161"/>
      <c r="K28" s="161"/>
      <c r="L28" s="161"/>
      <c r="M28" s="161"/>
    </row>
    <row r="29" spans="1:38" ht="16">
      <c r="A29" s="57"/>
      <c r="B29" s="59"/>
      <c r="C29" s="160" t="s">
        <v>85</v>
      </c>
      <c r="D29" s="160"/>
      <c r="E29" s="160"/>
      <c r="F29" s="160"/>
      <c r="G29" s="160"/>
      <c r="H29" s="160"/>
      <c r="I29" s="160"/>
      <c r="J29" s="160"/>
      <c r="K29" s="160"/>
      <c r="L29" s="160"/>
      <c r="M29" s="160"/>
    </row>
    <row r="30" spans="1:38" ht="16">
      <c r="A30" s="57"/>
      <c r="B30" s="59"/>
      <c r="C30" s="160" t="s">
        <v>86</v>
      </c>
      <c r="D30" s="161"/>
      <c r="E30" s="161"/>
      <c r="F30" s="161"/>
      <c r="G30" s="161"/>
      <c r="H30" s="161"/>
      <c r="I30" s="161"/>
      <c r="J30" s="161"/>
      <c r="K30" s="161"/>
      <c r="L30" s="161"/>
      <c r="M30" s="161"/>
    </row>
    <row r="31" spans="1:38" ht="30" customHeight="1">
      <c r="A31" s="57"/>
      <c r="B31" s="59"/>
      <c r="C31" s="153" t="s">
        <v>87</v>
      </c>
      <c r="D31" s="162"/>
      <c r="E31" s="162"/>
      <c r="F31" s="162"/>
      <c r="G31" s="162"/>
      <c r="H31" s="162"/>
      <c r="I31" s="162"/>
      <c r="J31" s="162"/>
      <c r="K31" s="162"/>
      <c r="L31" s="162"/>
      <c r="M31" s="162"/>
    </row>
    <row r="32" spans="1:38" ht="44" customHeight="1">
      <c r="A32" s="57"/>
      <c r="B32" s="59"/>
      <c r="C32" s="153" t="s">
        <v>88</v>
      </c>
      <c r="D32" s="170"/>
      <c r="E32" s="170"/>
      <c r="F32" s="170"/>
      <c r="G32" s="170"/>
      <c r="H32" s="170"/>
      <c r="I32" s="170"/>
      <c r="J32" s="170"/>
      <c r="K32" s="170"/>
      <c r="L32" s="170"/>
      <c r="M32" s="170"/>
    </row>
    <row r="33" spans="1:28" ht="34.5" customHeight="1">
      <c r="A33" s="57"/>
      <c r="B33" s="59"/>
      <c r="C33" s="153" t="s">
        <v>120</v>
      </c>
      <c r="D33" s="153"/>
      <c r="E33" s="153"/>
      <c r="F33" s="153"/>
      <c r="G33" s="153"/>
      <c r="H33" s="153"/>
      <c r="I33" s="153"/>
      <c r="J33" s="153"/>
      <c r="K33" s="153"/>
      <c r="L33" s="153"/>
      <c r="M33" s="153"/>
    </row>
    <row r="34" spans="1:28">
      <c r="A34" s="56">
        <v>5</v>
      </c>
      <c r="B34" s="151" t="s">
        <v>90</v>
      </c>
      <c r="C34" s="151"/>
      <c r="D34" s="151"/>
      <c r="E34" s="151"/>
      <c r="F34" s="151"/>
      <c r="G34" s="151"/>
      <c r="H34" s="151"/>
      <c r="I34" s="151"/>
      <c r="J34" s="151"/>
      <c r="K34" s="151"/>
      <c r="L34" s="151"/>
      <c r="M34" s="151"/>
    </row>
    <row r="35" spans="1:28">
      <c r="A35" s="56"/>
      <c r="B35" s="151" t="s">
        <v>67</v>
      </c>
      <c r="C35" s="151"/>
      <c r="D35" s="151"/>
      <c r="E35" s="151"/>
      <c r="F35" s="151"/>
      <c r="G35" s="151"/>
      <c r="H35" s="151"/>
      <c r="I35" s="151"/>
      <c r="J35" s="151"/>
      <c r="K35" s="151"/>
      <c r="L35" s="151"/>
      <c r="M35" s="151"/>
    </row>
    <row r="36" spans="1:28">
      <c r="A36" s="56"/>
      <c r="B36" s="58"/>
      <c r="C36" s="151" t="s">
        <v>91</v>
      </c>
      <c r="D36" s="151"/>
      <c r="E36" s="151"/>
      <c r="F36" s="151"/>
      <c r="G36" s="151"/>
      <c r="H36" s="151"/>
      <c r="I36" s="151"/>
      <c r="J36" s="151"/>
      <c r="K36" s="151"/>
      <c r="L36" s="151"/>
      <c r="M36" s="151"/>
    </row>
    <row r="37" spans="1:28" ht="7.25" customHeight="1">
      <c r="A37" s="48"/>
    </row>
    <row r="38" spans="1:28" ht="17">
      <c r="A38" s="46" t="s">
        <v>62</v>
      </c>
    </row>
    <row r="39" spans="1:28">
      <c r="A39" s="56">
        <v>1</v>
      </c>
      <c r="B39" s="167" t="s">
        <v>182</v>
      </c>
      <c r="C39" s="168"/>
      <c r="D39" s="168"/>
      <c r="E39" s="168"/>
      <c r="F39" s="168"/>
      <c r="G39" s="168"/>
      <c r="H39" s="168"/>
      <c r="I39" s="168"/>
      <c r="J39" s="168"/>
      <c r="K39" s="168"/>
      <c r="L39" s="168"/>
      <c r="M39" s="169"/>
    </row>
    <row r="40" spans="1:28">
      <c r="A40" s="56">
        <v>2</v>
      </c>
      <c r="B40" s="167" t="s">
        <v>71</v>
      </c>
      <c r="C40" s="168"/>
      <c r="D40" s="168"/>
      <c r="E40" s="168"/>
      <c r="F40" s="168"/>
      <c r="G40" s="168"/>
      <c r="H40" s="168"/>
      <c r="I40" s="168"/>
      <c r="J40" s="168"/>
      <c r="K40" s="168"/>
      <c r="L40" s="168"/>
      <c r="M40" s="169"/>
    </row>
    <row r="41" spans="1:28" ht="30" customHeight="1">
      <c r="A41" s="56">
        <v>3</v>
      </c>
      <c r="B41" s="167" t="s">
        <v>122</v>
      </c>
      <c r="C41" s="168"/>
      <c r="D41" s="168"/>
      <c r="E41" s="168"/>
      <c r="F41" s="168"/>
      <c r="G41" s="168"/>
      <c r="H41" s="168"/>
      <c r="I41" s="168"/>
      <c r="J41" s="168"/>
      <c r="K41" s="168"/>
      <c r="L41" s="168"/>
      <c r="M41" s="169"/>
    </row>
    <row r="42" spans="1:28" ht="108.5" customHeight="1">
      <c r="A42" s="56">
        <v>4</v>
      </c>
      <c r="B42" s="152" t="s">
        <v>124</v>
      </c>
      <c r="C42" s="152"/>
      <c r="D42" s="152"/>
      <c r="E42" s="152"/>
      <c r="F42" s="152"/>
      <c r="G42" s="152"/>
      <c r="H42" s="152"/>
      <c r="I42" s="152"/>
      <c r="J42" s="152"/>
      <c r="K42" s="152"/>
      <c r="L42" s="152"/>
      <c r="M42" s="152"/>
    </row>
    <row r="43" spans="1:28">
      <c r="A43" s="56">
        <v>5</v>
      </c>
      <c r="B43" s="153" t="s">
        <v>123</v>
      </c>
      <c r="C43" s="153"/>
      <c r="D43" s="153"/>
      <c r="E43" s="153"/>
      <c r="F43" s="153"/>
      <c r="G43" s="153"/>
      <c r="H43" s="153"/>
      <c r="I43" s="153"/>
      <c r="J43" s="153"/>
      <c r="K43" s="153"/>
      <c r="L43" s="153"/>
      <c r="M43" s="153"/>
    </row>
    <row r="44" spans="1:28">
      <c r="A44" s="56">
        <v>6</v>
      </c>
      <c r="B44" s="153" t="s">
        <v>69</v>
      </c>
      <c r="C44" s="153"/>
      <c r="D44" s="153"/>
      <c r="E44" s="153"/>
      <c r="F44" s="153"/>
      <c r="G44" s="153"/>
      <c r="H44" s="153"/>
      <c r="I44" s="153"/>
      <c r="J44" s="153"/>
      <c r="K44" s="153"/>
      <c r="L44" s="153"/>
      <c r="M44" s="153"/>
    </row>
    <row r="45" spans="1:28">
      <c r="A45" s="56">
        <v>7</v>
      </c>
      <c r="B45" s="157" t="s">
        <v>66</v>
      </c>
      <c r="C45" s="158"/>
      <c r="D45" s="158"/>
      <c r="E45" s="158"/>
      <c r="F45" s="158"/>
      <c r="G45" s="158"/>
      <c r="H45" s="158"/>
      <c r="I45" s="158"/>
      <c r="J45" s="158"/>
      <c r="K45" s="158"/>
      <c r="L45" s="158"/>
      <c r="M45" s="159"/>
    </row>
    <row r="46" spans="1:28">
      <c r="A46" s="56">
        <v>8</v>
      </c>
      <c r="B46" s="157" t="s">
        <v>70</v>
      </c>
      <c r="C46" s="158"/>
      <c r="D46" s="158"/>
      <c r="E46" s="158"/>
      <c r="F46" s="158"/>
      <c r="G46" s="158"/>
      <c r="H46" s="158"/>
      <c r="I46" s="158"/>
      <c r="J46" s="158"/>
      <c r="K46" s="158"/>
      <c r="L46" s="158"/>
      <c r="M46" s="159"/>
    </row>
    <row r="47" spans="1:28" ht="15.75" customHeight="1">
      <c r="A47" s="56">
        <v>9</v>
      </c>
      <c r="B47" s="157" t="s">
        <v>125</v>
      </c>
      <c r="C47" s="158"/>
      <c r="D47" s="158"/>
      <c r="E47" s="158"/>
      <c r="F47" s="158"/>
      <c r="G47" s="158"/>
      <c r="H47" s="158"/>
      <c r="I47" s="158"/>
      <c r="J47" s="158"/>
      <c r="K47" s="158"/>
      <c r="L47" s="158"/>
      <c r="M47" s="159"/>
    </row>
    <row r="48" spans="1:28" ht="29.5" customHeight="1">
      <c r="A48" s="166" t="s">
        <v>68</v>
      </c>
      <c r="B48" s="166"/>
      <c r="C48" s="166"/>
      <c r="D48" s="166"/>
      <c r="E48" s="166"/>
      <c r="F48" s="166"/>
      <c r="G48" s="166"/>
      <c r="H48" s="166"/>
      <c r="I48" s="166"/>
      <c r="J48" s="166"/>
      <c r="K48" s="166"/>
      <c r="L48" s="166"/>
      <c r="M48" s="166"/>
      <c r="N48" s="52"/>
      <c r="O48" s="52"/>
      <c r="P48" s="52"/>
      <c r="Q48" s="52"/>
      <c r="R48" s="52"/>
      <c r="S48" s="52"/>
      <c r="T48" s="52"/>
      <c r="U48" s="52"/>
      <c r="V48" s="52"/>
      <c r="W48" s="52"/>
      <c r="X48" s="52"/>
      <c r="Y48" s="52"/>
      <c r="Z48" s="52"/>
      <c r="AA48" s="52"/>
      <c r="AB48" s="52"/>
    </row>
    <row r="49" spans="1:10">
      <c r="A49" s="47"/>
    </row>
    <row r="50" spans="1:10" ht="6" customHeight="1">
      <c r="A50" s="51"/>
      <c r="B50" s="53"/>
      <c r="C50" s="53"/>
      <c r="D50" s="53"/>
      <c r="E50" s="53"/>
      <c r="F50" s="53"/>
      <c r="G50" s="53"/>
      <c r="H50" s="53"/>
      <c r="I50" s="53"/>
      <c r="J50" s="53"/>
    </row>
    <row r="51" spans="1:10" ht="5.5" customHeight="1">
      <c r="A51" s="47"/>
    </row>
    <row r="52" spans="1:10" ht="6.5" customHeight="1">
      <c r="A52" s="47"/>
    </row>
  </sheetData>
  <mergeCells count="45">
    <mergeCell ref="A48:M48"/>
    <mergeCell ref="B39:M39"/>
    <mergeCell ref="C36:M36"/>
    <mergeCell ref="B47:M47"/>
    <mergeCell ref="C32:M32"/>
    <mergeCell ref="C33:M33"/>
    <mergeCell ref="B46:M46"/>
    <mergeCell ref="B43:M43"/>
    <mergeCell ref="B44:M44"/>
    <mergeCell ref="B34:M34"/>
    <mergeCell ref="B42:M42"/>
    <mergeCell ref="B41:M41"/>
    <mergeCell ref="B35:M35"/>
    <mergeCell ref="B40:M40"/>
    <mergeCell ref="B45:M45"/>
    <mergeCell ref="C30:M30"/>
    <mergeCell ref="C31:M31"/>
    <mergeCell ref="C24:M24"/>
    <mergeCell ref="B23:M23"/>
    <mergeCell ref="A3:M3"/>
    <mergeCell ref="C29:M29"/>
    <mergeCell ref="A6:M6"/>
    <mergeCell ref="A7:M7"/>
    <mergeCell ref="A8:M8"/>
    <mergeCell ref="C14:M14"/>
    <mergeCell ref="C15:M15"/>
    <mergeCell ref="C16:M16"/>
    <mergeCell ref="C17:M17"/>
    <mergeCell ref="C18:M18"/>
    <mergeCell ref="C27:M27"/>
    <mergeCell ref="C28:M28"/>
    <mergeCell ref="A1:M1"/>
    <mergeCell ref="A9:M9"/>
    <mergeCell ref="B25:M25"/>
    <mergeCell ref="C26:M26"/>
    <mergeCell ref="B12:M12"/>
    <mergeCell ref="A2:M2"/>
    <mergeCell ref="A4:M4"/>
    <mergeCell ref="A5:M5"/>
    <mergeCell ref="B11:M11"/>
    <mergeCell ref="B19:M19"/>
    <mergeCell ref="B21:M21"/>
    <mergeCell ref="C22:M22"/>
    <mergeCell ref="B20:M20"/>
    <mergeCell ref="B13:M13"/>
  </mergeCells>
  <hyperlinks>
    <hyperlink ref="A48" r:id="rId1" display="http://www.gsa.gov/portal/content/104877?utm_source=OCM&amp;utm_medium=print-radio&amp;utm_term=HP_01_Requested_perdiem&amp;utm_campaign" xr:uid="{4FBB803E-EE7D-4526-ABEF-9BF46E1258A1}"/>
    <hyperlink ref="A7" r:id="rId2" xr:uid="{53FA0DC2-2800-4429-9405-ADB9BD7565A7}"/>
  </hyperlinks>
  <printOptions horizontalCentered="1"/>
  <pageMargins left="0.7" right="0.7" top="0.75" bottom="0.75" header="0.3" footer="0.3"/>
  <pageSetup scale="8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0CBA-8209-4ED7-8E0D-78FA15CDCB59}">
  <sheetPr>
    <pageSetUpPr fitToPage="1"/>
  </sheetPr>
  <dimension ref="A2:F63"/>
  <sheetViews>
    <sheetView tabSelected="1" view="pageBreakPreview" topLeftCell="A9" zoomScale="134" zoomScaleNormal="100" zoomScaleSheetLayoutView="100" workbookViewId="0">
      <selection activeCell="C30" sqref="C30"/>
    </sheetView>
  </sheetViews>
  <sheetFormatPr baseColWidth="10" defaultColWidth="8.83203125" defaultRowHeight="15"/>
  <cols>
    <col min="1" max="1" width="61.33203125" bestFit="1" customWidth="1"/>
    <col min="2" max="2" width="15.1640625" customWidth="1"/>
    <col min="3" max="3" width="13.83203125" customWidth="1"/>
    <col min="4" max="4" width="12" customWidth="1"/>
    <col min="5" max="5" width="15.5" customWidth="1"/>
    <col min="6" max="6" width="17.5" customWidth="1"/>
  </cols>
  <sheetData>
    <row r="2" spans="1:6">
      <c r="A2" s="61"/>
    </row>
    <row r="4" spans="1:6">
      <c r="A4" t="str">
        <f>'3-Summary Billing Report'!A4</f>
        <v>15 Bonita Vista Road, Mount Vernon, NY 10552</v>
      </c>
    </row>
    <row r="6" spans="1:6" ht="62">
      <c r="A6" s="118" t="s">
        <v>16</v>
      </c>
      <c r="E6" t="s">
        <v>0</v>
      </c>
      <c r="F6" s="139">
        <f>'3-Summary Billing Report'!I3</f>
        <v>46204</v>
      </c>
    </row>
    <row r="8" spans="1:6">
      <c r="A8" t="s">
        <v>26</v>
      </c>
    </row>
    <row r="9" spans="1:6">
      <c r="A9" t="s">
        <v>27</v>
      </c>
    </row>
    <row r="10" spans="1:6">
      <c r="A10" t="s">
        <v>28</v>
      </c>
    </row>
    <row r="11" spans="1:6">
      <c r="A11" t="s">
        <v>29</v>
      </c>
    </row>
    <row r="12" spans="1:6">
      <c r="A12" t="s">
        <v>30</v>
      </c>
    </row>
    <row r="14" spans="1:6">
      <c r="A14" s="61">
        <v>5</v>
      </c>
      <c r="B14" s="148" t="s">
        <v>133</v>
      </c>
      <c r="C14" s="148"/>
      <c r="D14" s="148"/>
      <c r="E14" s="148"/>
      <c r="F14" s="148"/>
    </row>
    <row r="15" spans="1:6">
      <c r="A15" s="61" t="s">
        <v>38</v>
      </c>
      <c r="B15" t="s">
        <v>189</v>
      </c>
    </row>
    <row r="17" spans="1:6">
      <c r="A17" s="61" t="s">
        <v>137</v>
      </c>
      <c r="B17" s="119">
        <f>E63</f>
        <v>47490</v>
      </c>
    </row>
    <row r="18" spans="1:6">
      <c r="A18" s="61" t="s">
        <v>138</v>
      </c>
      <c r="B18" s="119">
        <v>0</v>
      </c>
    </row>
    <row r="20" spans="1:6" ht="32">
      <c r="A20" s="120" t="s">
        <v>140</v>
      </c>
      <c r="B20" s="121" t="s">
        <v>141</v>
      </c>
      <c r="C20" s="121" t="s">
        <v>142</v>
      </c>
      <c r="D20" s="121" t="s">
        <v>143</v>
      </c>
      <c r="E20" s="121" t="s">
        <v>144</v>
      </c>
      <c r="F20" s="121" t="s">
        <v>145</v>
      </c>
    </row>
    <row r="21" spans="1:6">
      <c r="A21" s="122" t="s">
        <v>147</v>
      </c>
      <c r="B21" s="123"/>
      <c r="C21" s="123"/>
      <c r="D21" s="123"/>
      <c r="E21" s="124">
        <f>SUM(E22:E24)</f>
        <v>0</v>
      </c>
      <c r="F21" s="123"/>
    </row>
    <row r="22" spans="1:6" hidden="1">
      <c r="A22" s="125"/>
      <c r="B22" s="125">
        <v>0</v>
      </c>
      <c r="C22" s="125">
        <v>0</v>
      </c>
      <c r="D22" s="125">
        <f>B22+C22</f>
        <v>0</v>
      </c>
      <c r="E22" s="125">
        <v>0</v>
      </c>
      <c r="F22" s="126">
        <f>E22-D22</f>
        <v>0</v>
      </c>
    </row>
    <row r="23" spans="1:6" hidden="1">
      <c r="A23" s="125"/>
      <c r="B23" s="125">
        <v>0</v>
      </c>
      <c r="C23" s="125">
        <v>0</v>
      </c>
      <c r="D23" s="125">
        <f t="shared" ref="D23:D61" si="0">B23+C23</f>
        <v>0</v>
      </c>
      <c r="E23" s="125">
        <v>0</v>
      </c>
      <c r="F23" s="126">
        <f t="shared" ref="F23:F61" si="1">E23-D23</f>
        <v>0</v>
      </c>
    </row>
    <row r="24" spans="1:6" hidden="1">
      <c r="A24" s="125"/>
      <c r="B24" s="125">
        <v>0</v>
      </c>
      <c r="C24" s="125">
        <v>0</v>
      </c>
      <c r="D24" s="125">
        <f t="shared" si="0"/>
        <v>0</v>
      </c>
      <c r="E24" s="125">
        <v>0</v>
      </c>
      <c r="F24" s="126">
        <f t="shared" si="1"/>
        <v>0</v>
      </c>
    </row>
    <row r="25" spans="1:6" hidden="1">
      <c r="A25" s="127"/>
      <c r="B25" s="125"/>
      <c r="C25" s="125"/>
      <c r="D25" s="125"/>
      <c r="E25" s="128"/>
      <c r="F25" s="126"/>
    </row>
    <row r="26" spans="1:6" ht="16">
      <c r="A26" s="129" t="s">
        <v>152</v>
      </c>
      <c r="B26" s="130">
        <f t="shared" ref="B26:F26" si="2">SUM(B27:B35)</f>
        <v>8206.69</v>
      </c>
      <c r="C26" s="130">
        <f t="shared" si="2"/>
        <v>11808.949999999999</v>
      </c>
      <c r="D26" s="130">
        <f t="shared" si="2"/>
        <v>20015.64</v>
      </c>
      <c r="E26" s="130">
        <f>SUM(E27:E35)</f>
        <v>47490</v>
      </c>
      <c r="F26" s="130">
        <f t="shared" si="2"/>
        <v>27474.36</v>
      </c>
    </row>
    <row r="27" spans="1:6">
      <c r="A27" s="125" t="s">
        <v>148</v>
      </c>
      <c r="B27" s="125">
        <f>Previous!J2</f>
        <v>8206.69</v>
      </c>
      <c r="C27" s="125">
        <v>996.38</v>
      </c>
      <c r="D27" s="125">
        <f t="shared" si="0"/>
        <v>9203.07</v>
      </c>
      <c r="E27" s="125">
        <v>9375</v>
      </c>
      <c r="F27" s="126">
        <f t="shared" si="1"/>
        <v>171.93000000000029</v>
      </c>
    </row>
    <row r="28" spans="1:6">
      <c r="A28" s="125" t="s">
        <v>149</v>
      </c>
      <c r="B28" s="125">
        <v>0</v>
      </c>
      <c r="C28"/>
      <c r="D28" s="125">
        <f t="shared" si="0"/>
        <v>9318.2999999999993</v>
      </c>
      <c r="E28" s="125">
        <v>9375</v>
      </c>
      <c r="F28" s="126">
        <f t="shared" si="1"/>
        <v>56.700000000000728</v>
      </c>
    </row>
    <row r="29" spans="1:6">
      <c r="A29" s="125" t="s">
        <v>150</v>
      </c>
      <c r="B29" s="125">
        <v>0</v>
      </c>
      <c r="C29"/>
      <c r="D29" s="125">
        <f t="shared" si="0"/>
        <v>1494.27</v>
      </c>
      <c r="E29" s="125">
        <v>5830</v>
      </c>
      <c r="F29" s="126">
        <f t="shared" si="1"/>
        <v>4335.7299999999996</v>
      </c>
    </row>
    <row r="30" spans="1:6">
      <c r="A30" s="125" t="s">
        <v>151</v>
      </c>
      <c r="B30" s="125">
        <v>0</v>
      </c>
      <c r="C30" s="125">
        <v>0</v>
      </c>
      <c r="D30" s="125">
        <f t="shared" si="0"/>
        <v>0</v>
      </c>
      <c r="E30" s="125">
        <v>22910</v>
      </c>
      <c r="F30" s="126">
        <f t="shared" si="1"/>
        <v>22910</v>
      </c>
    </row>
    <row r="31" spans="1:6" hidden="1">
      <c r="A31" s="125"/>
      <c r="B31" s="125">
        <v>0</v>
      </c>
      <c r="C31" s="125">
        <v>0</v>
      </c>
      <c r="D31" s="125">
        <f t="shared" si="0"/>
        <v>0</v>
      </c>
      <c r="E31" s="125">
        <v>0</v>
      </c>
      <c r="F31" s="126">
        <f t="shared" si="1"/>
        <v>0</v>
      </c>
    </row>
    <row r="32" spans="1:6" hidden="1">
      <c r="A32" s="125"/>
      <c r="B32" s="125">
        <v>0</v>
      </c>
      <c r="C32" s="125">
        <v>0</v>
      </c>
      <c r="D32" s="125">
        <f t="shared" si="0"/>
        <v>0</v>
      </c>
      <c r="E32" s="125">
        <v>0</v>
      </c>
      <c r="F32" s="126">
        <f t="shared" si="1"/>
        <v>0</v>
      </c>
    </row>
    <row r="33" spans="1:6" hidden="1">
      <c r="A33" s="125"/>
      <c r="B33" s="125">
        <v>0</v>
      </c>
      <c r="C33" s="125">
        <v>0</v>
      </c>
      <c r="D33" s="125">
        <f t="shared" si="0"/>
        <v>0</v>
      </c>
      <c r="E33" s="125">
        <v>0</v>
      </c>
      <c r="F33" s="126">
        <f t="shared" si="1"/>
        <v>0</v>
      </c>
    </row>
    <row r="34" spans="1:6" hidden="1">
      <c r="A34" s="125"/>
      <c r="B34" s="125">
        <v>0</v>
      </c>
      <c r="C34" s="125">
        <v>0</v>
      </c>
      <c r="D34" s="125">
        <f t="shared" si="0"/>
        <v>0</v>
      </c>
      <c r="E34" s="125">
        <v>0</v>
      </c>
      <c r="F34" s="126">
        <f t="shared" si="1"/>
        <v>0</v>
      </c>
    </row>
    <row r="35" spans="1:6" hidden="1">
      <c r="A35" s="125"/>
      <c r="B35" s="125">
        <v>0</v>
      </c>
      <c r="C35" s="125">
        <v>0</v>
      </c>
      <c r="D35" s="125">
        <f t="shared" si="0"/>
        <v>0</v>
      </c>
      <c r="E35" s="125">
        <v>0</v>
      </c>
      <c r="F35" s="126">
        <f t="shared" si="1"/>
        <v>0</v>
      </c>
    </row>
    <row r="36" spans="1:6" hidden="1">
      <c r="A36" s="127"/>
      <c r="B36" s="125"/>
      <c r="C36" s="125"/>
      <c r="D36" s="125"/>
      <c r="E36" s="125"/>
      <c r="F36" s="126"/>
    </row>
    <row r="37" spans="1:6" ht="16">
      <c r="A37" s="129" t="s">
        <v>153</v>
      </c>
      <c r="B37" s="130"/>
      <c r="C37" s="130"/>
      <c r="D37" s="130"/>
      <c r="E37" s="130">
        <f>SUM(E38:E40)</f>
        <v>0</v>
      </c>
      <c r="F37" s="130"/>
    </row>
    <row r="38" spans="1:6" hidden="1">
      <c r="A38" s="125"/>
      <c r="B38" s="130">
        <v>0</v>
      </c>
      <c r="C38" s="130">
        <v>0</v>
      </c>
      <c r="D38" s="130">
        <f t="shared" si="0"/>
        <v>0</v>
      </c>
      <c r="E38" s="130">
        <v>0</v>
      </c>
      <c r="F38" s="130">
        <f t="shared" si="1"/>
        <v>0</v>
      </c>
    </row>
    <row r="39" spans="1:6" hidden="1">
      <c r="A39" s="125"/>
      <c r="B39" s="130">
        <v>0</v>
      </c>
      <c r="C39" s="130">
        <v>0</v>
      </c>
      <c r="D39" s="130">
        <f t="shared" si="0"/>
        <v>0</v>
      </c>
      <c r="E39" s="130">
        <v>0</v>
      </c>
      <c r="F39" s="130">
        <f t="shared" si="1"/>
        <v>0</v>
      </c>
    </row>
    <row r="40" spans="1:6" hidden="1">
      <c r="A40" s="125"/>
      <c r="B40" s="130">
        <v>0</v>
      </c>
      <c r="C40" s="130">
        <v>0</v>
      </c>
      <c r="D40" s="130">
        <f t="shared" si="0"/>
        <v>0</v>
      </c>
      <c r="E40" s="130">
        <v>0</v>
      </c>
      <c r="F40" s="130">
        <f t="shared" si="1"/>
        <v>0</v>
      </c>
    </row>
    <row r="41" spans="1:6" hidden="1">
      <c r="A41" s="125"/>
      <c r="B41" s="130"/>
      <c r="C41" s="130"/>
      <c r="D41" s="130"/>
      <c r="E41" s="130"/>
      <c r="F41" s="130"/>
    </row>
    <row r="42" spans="1:6" ht="16">
      <c r="A42" s="129" t="s">
        <v>154</v>
      </c>
      <c r="B42" s="130"/>
      <c r="C42" s="130"/>
      <c r="D42" s="130"/>
      <c r="E42" s="130">
        <f>SUM(E43:E45)</f>
        <v>0</v>
      </c>
      <c r="F42" s="130"/>
    </row>
    <row r="43" spans="1:6" hidden="1">
      <c r="A43" s="125"/>
      <c r="B43" s="130">
        <v>0</v>
      </c>
      <c r="C43" s="130">
        <v>0</v>
      </c>
      <c r="D43" s="130">
        <f t="shared" ref="D43:D45" si="3">B43+C43</f>
        <v>0</v>
      </c>
      <c r="E43" s="130">
        <v>0</v>
      </c>
      <c r="F43" s="130">
        <f t="shared" ref="F43:F45" si="4">E43-D43</f>
        <v>0</v>
      </c>
    </row>
    <row r="44" spans="1:6" hidden="1">
      <c r="A44" s="125"/>
      <c r="B44" s="130">
        <v>0</v>
      </c>
      <c r="C44" s="130">
        <v>0</v>
      </c>
      <c r="D44" s="130">
        <f t="shared" si="3"/>
        <v>0</v>
      </c>
      <c r="E44" s="130">
        <v>0</v>
      </c>
      <c r="F44" s="130">
        <f t="shared" si="4"/>
        <v>0</v>
      </c>
    </row>
    <row r="45" spans="1:6" hidden="1">
      <c r="A45" s="125"/>
      <c r="B45" s="130">
        <v>0</v>
      </c>
      <c r="C45" s="130">
        <v>0</v>
      </c>
      <c r="D45" s="130">
        <f t="shared" si="3"/>
        <v>0</v>
      </c>
      <c r="E45" s="130">
        <v>0</v>
      </c>
      <c r="F45" s="130">
        <f t="shared" si="4"/>
        <v>0</v>
      </c>
    </row>
    <row r="46" spans="1:6" hidden="1">
      <c r="A46" s="127"/>
      <c r="B46" s="130"/>
      <c r="C46" s="130"/>
      <c r="D46" s="130"/>
      <c r="E46" s="130"/>
      <c r="F46" s="130"/>
    </row>
    <row r="47" spans="1:6" ht="16">
      <c r="A47" s="129" t="s">
        <v>155</v>
      </c>
      <c r="B47" s="130"/>
      <c r="C47" s="130"/>
      <c r="D47" s="130"/>
      <c r="E47" s="130">
        <f>SUM(E48:E50)</f>
        <v>0</v>
      </c>
      <c r="F47" s="130"/>
    </row>
    <row r="48" spans="1:6" hidden="1">
      <c r="A48" s="125"/>
      <c r="B48" s="130">
        <v>0</v>
      </c>
      <c r="C48" s="130">
        <v>0</v>
      </c>
      <c r="D48" s="130">
        <f t="shared" ref="D48:D50" si="5">B48+C48</f>
        <v>0</v>
      </c>
      <c r="E48" s="130">
        <v>0</v>
      </c>
      <c r="F48" s="130">
        <f t="shared" ref="F48:F50" si="6">E48-D48</f>
        <v>0</v>
      </c>
    </row>
    <row r="49" spans="1:6" hidden="1">
      <c r="A49" s="125"/>
      <c r="B49" s="130">
        <v>0</v>
      </c>
      <c r="C49" s="130">
        <v>0</v>
      </c>
      <c r="D49" s="130">
        <f t="shared" si="5"/>
        <v>0</v>
      </c>
      <c r="E49" s="130">
        <v>0</v>
      </c>
      <c r="F49" s="130">
        <f t="shared" si="6"/>
        <v>0</v>
      </c>
    </row>
    <row r="50" spans="1:6" hidden="1">
      <c r="A50" s="125"/>
      <c r="B50" s="130">
        <v>0</v>
      </c>
      <c r="C50" s="130">
        <v>0</v>
      </c>
      <c r="D50" s="130">
        <f t="shared" si="5"/>
        <v>0</v>
      </c>
      <c r="E50" s="130">
        <v>0</v>
      </c>
      <c r="F50" s="130">
        <f t="shared" si="6"/>
        <v>0</v>
      </c>
    </row>
    <row r="51" spans="1:6" hidden="1">
      <c r="A51" s="127"/>
      <c r="B51" s="130"/>
      <c r="C51" s="130"/>
      <c r="D51" s="130"/>
      <c r="E51" s="130"/>
      <c r="F51" s="130"/>
    </row>
    <row r="52" spans="1:6" ht="16">
      <c r="A52" s="129" t="s">
        <v>156</v>
      </c>
      <c r="B52" s="130"/>
      <c r="C52" s="130"/>
      <c r="D52" s="130"/>
      <c r="E52" s="130">
        <f>SUM(E53:E55)</f>
        <v>0</v>
      </c>
      <c r="F52" s="130"/>
    </row>
    <row r="53" spans="1:6" hidden="1">
      <c r="A53" s="125"/>
      <c r="B53" s="130">
        <v>0</v>
      </c>
      <c r="C53" s="130">
        <v>0</v>
      </c>
      <c r="D53" s="130">
        <f t="shared" ref="D53:D55" si="7">B53+C53</f>
        <v>0</v>
      </c>
      <c r="E53" s="130">
        <v>0</v>
      </c>
      <c r="F53" s="130">
        <f t="shared" ref="F53:F55" si="8">E53-D53</f>
        <v>0</v>
      </c>
    </row>
    <row r="54" spans="1:6" hidden="1">
      <c r="A54" s="125"/>
      <c r="B54" s="130">
        <v>0</v>
      </c>
      <c r="C54" s="130">
        <v>0</v>
      </c>
      <c r="D54" s="130">
        <f t="shared" si="7"/>
        <v>0</v>
      </c>
      <c r="E54" s="130">
        <v>0</v>
      </c>
      <c r="F54" s="130">
        <f t="shared" si="8"/>
        <v>0</v>
      </c>
    </row>
    <row r="55" spans="1:6" hidden="1">
      <c r="A55" s="125"/>
      <c r="B55" s="130">
        <v>0</v>
      </c>
      <c r="C55" s="130">
        <v>0</v>
      </c>
      <c r="D55" s="130">
        <f t="shared" si="7"/>
        <v>0</v>
      </c>
      <c r="E55" s="130">
        <v>0</v>
      </c>
      <c r="F55" s="130">
        <f t="shared" si="8"/>
        <v>0</v>
      </c>
    </row>
    <row r="56" spans="1:6" hidden="1">
      <c r="A56" s="127"/>
      <c r="B56" s="130"/>
      <c r="C56" s="130"/>
      <c r="D56" s="130"/>
      <c r="E56" s="130"/>
      <c r="F56" s="130"/>
    </row>
    <row r="57" spans="1:6" ht="16">
      <c r="A57" s="129" t="s">
        <v>157</v>
      </c>
      <c r="B57" s="130"/>
      <c r="C57" s="130"/>
      <c r="D57" s="130"/>
      <c r="E57" s="130">
        <f>SUM(E58:E61)</f>
        <v>0</v>
      </c>
      <c r="F57" s="130"/>
    </row>
    <row r="58" spans="1:6" hidden="1">
      <c r="A58" s="125"/>
      <c r="B58" s="125">
        <v>0</v>
      </c>
      <c r="C58" s="125">
        <v>0</v>
      </c>
      <c r="D58" s="125">
        <f t="shared" si="0"/>
        <v>0</v>
      </c>
      <c r="E58" s="125">
        <v>0</v>
      </c>
      <c r="F58" s="126">
        <f t="shared" si="1"/>
        <v>0</v>
      </c>
    </row>
    <row r="59" spans="1:6" hidden="1">
      <c r="A59" s="125"/>
      <c r="B59" s="125">
        <v>0</v>
      </c>
      <c r="C59" s="125">
        <v>0</v>
      </c>
      <c r="D59" s="125">
        <f t="shared" si="0"/>
        <v>0</v>
      </c>
      <c r="E59" s="125">
        <v>0</v>
      </c>
      <c r="F59" s="126">
        <f t="shared" si="1"/>
        <v>0</v>
      </c>
    </row>
    <row r="60" spans="1:6" hidden="1">
      <c r="A60" s="125"/>
      <c r="B60" s="125">
        <v>0</v>
      </c>
      <c r="C60" s="125">
        <v>0</v>
      </c>
      <c r="D60" s="125">
        <f t="shared" si="0"/>
        <v>0</v>
      </c>
      <c r="E60" s="125">
        <v>0</v>
      </c>
      <c r="F60" s="126">
        <f t="shared" si="1"/>
        <v>0</v>
      </c>
    </row>
    <row r="61" spans="1:6" hidden="1">
      <c r="A61" s="125"/>
      <c r="B61" s="125">
        <v>0</v>
      </c>
      <c r="C61" s="125">
        <v>0</v>
      </c>
      <c r="D61" s="125">
        <f t="shared" si="0"/>
        <v>0</v>
      </c>
      <c r="E61" s="125">
        <v>0</v>
      </c>
      <c r="F61" s="126">
        <f t="shared" si="1"/>
        <v>0</v>
      </c>
    </row>
    <row r="62" spans="1:6" hidden="1">
      <c r="A62" s="125"/>
      <c r="B62" s="125"/>
      <c r="C62" s="125"/>
      <c r="D62" s="125"/>
      <c r="E62" s="125"/>
      <c r="F62" s="131"/>
    </row>
    <row r="63" spans="1:6" ht="16">
      <c r="A63" s="132" t="s">
        <v>146</v>
      </c>
      <c r="B63" s="133">
        <f t="shared" ref="B63:D63" si="9">SUM(B57,B52,B47,B42,B37,B26,B21)</f>
        <v>8206.69</v>
      </c>
      <c r="C63" s="133">
        <f t="shared" si="9"/>
        <v>11808.949999999999</v>
      </c>
      <c r="D63" s="133">
        <f t="shared" si="9"/>
        <v>20015.64</v>
      </c>
      <c r="E63" s="133">
        <f>SUM(E57,E52,E47,E42,E37,E26,E21)</f>
        <v>47490</v>
      </c>
      <c r="F63" s="133">
        <f>SUM(F57,F52,F47,F42,F37,F26,F21)</f>
        <v>27474.36</v>
      </c>
    </row>
  </sheetData>
  <mergeCells count="1">
    <mergeCell ref="B14:F14"/>
  </mergeCells>
  <pageMargins left="0.7" right="0.7" top="0.75" bottom="0.75" header="0.3" footer="0.3"/>
  <pageSetup scale="6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C5509-86C5-304D-8BBB-FF271A2FE090}">
  <dimension ref="A1:F58"/>
  <sheetViews>
    <sheetView workbookViewId="0">
      <selection activeCell="H4" sqref="H4"/>
    </sheetView>
  </sheetViews>
  <sheetFormatPr baseColWidth="10" defaultRowHeight="15"/>
  <cols>
    <col min="1" max="1" width="31.83203125" bestFit="1" customWidth="1"/>
    <col min="2" max="2" width="84" customWidth="1"/>
    <col min="3" max="3" width="16.83203125" bestFit="1" customWidth="1"/>
    <col min="4" max="4" width="6.83203125" bestFit="1" customWidth="1"/>
    <col min="5" max="5" width="11.5" bestFit="1" customWidth="1"/>
    <col min="6" max="6" width="13.5" bestFit="1" customWidth="1"/>
  </cols>
  <sheetData>
    <row r="1" spans="1:6">
      <c r="A1" s="234" t="s">
        <v>194</v>
      </c>
    </row>
    <row r="2" spans="1:6">
      <c r="A2" s="241" t="s">
        <v>195</v>
      </c>
      <c r="B2" s="241" t="s">
        <v>196</v>
      </c>
      <c r="C2" s="236" t="s">
        <v>197</v>
      </c>
      <c r="D2" s="242" t="s">
        <v>199</v>
      </c>
      <c r="E2" s="241" t="s">
        <v>200</v>
      </c>
      <c r="F2" s="242" t="s">
        <v>201</v>
      </c>
    </row>
    <row r="3" spans="1:6">
      <c r="A3" s="241"/>
      <c r="B3" s="241"/>
      <c r="C3" s="236" t="s">
        <v>198</v>
      </c>
      <c r="D3" s="242"/>
      <c r="E3" s="241"/>
      <c r="F3" s="242"/>
    </row>
    <row r="4" spans="1:6">
      <c r="A4" s="243" t="s">
        <v>202</v>
      </c>
      <c r="B4" s="235" t="s">
        <v>203</v>
      </c>
      <c r="C4" s="236" t="s">
        <v>205</v>
      </c>
      <c r="D4" s="242" t="s">
        <v>206</v>
      </c>
      <c r="E4" s="241" t="s">
        <v>207</v>
      </c>
      <c r="F4" s="244" t="s">
        <v>208</v>
      </c>
    </row>
    <row r="5" spans="1:6">
      <c r="A5" s="243"/>
      <c r="B5" s="237" t="s">
        <v>204</v>
      </c>
      <c r="C5" s="238">
        <v>46203</v>
      </c>
      <c r="D5" s="242"/>
      <c r="E5" s="241"/>
      <c r="F5" s="244"/>
    </row>
    <row r="6" spans="1:6">
      <c r="A6" s="243" t="s">
        <v>202</v>
      </c>
      <c r="B6" s="235" t="s">
        <v>203</v>
      </c>
      <c r="C6" s="236" t="s">
        <v>205</v>
      </c>
      <c r="D6" s="242" t="s">
        <v>206</v>
      </c>
      <c r="E6" s="241" t="s">
        <v>210</v>
      </c>
      <c r="F6" s="244" t="s">
        <v>211</v>
      </c>
    </row>
    <row r="7" spans="1:6">
      <c r="A7" s="243"/>
      <c r="B7" s="237" t="s">
        <v>209</v>
      </c>
      <c r="C7" s="238">
        <v>46197</v>
      </c>
      <c r="D7" s="242"/>
      <c r="E7" s="241"/>
      <c r="F7" s="244"/>
    </row>
    <row r="8" spans="1:6">
      <c r="A8" s="243" t="s">
        <v>202</v>
      </c>
      <c r="B8" s="235" t="s">
        <v>203</v>
      </c>
      <c r="C8" s="236" t="s">
        <v>213</v>
      </c>
      <c r="D8" s="242" t="s">
        <v>206</v>
      </c>
      <c r="E8" s="241" t="s">
        <v>207</v>
      </c>
      <c r="F8" s="244" t="s">
        <v>214</v>
      </c>
    </row>
    <row r="9" spans="1:6">
      <c r="A9" s="243"/>
      <c r="B9" s="237" t="s">
        <v>212</v>
      </c>
      <c r="C9" s="238">
        <v>46197</v>
      </c>
      <c r="D9" s="242"/>
      <c r="E9" s="241"/>
      <c r="F9" s="244"/>
    </row>
    <row r="10" spans="1:6">
      <c r="A10" s="243" t="s">
        <v>202</v>
      </c>
      <c r="B10" s="235" t="s">
        <v>215</v>
      </c>
      <c r="C10" s="236" t="s">
        <v>217</v>
      </c>
      <c r="D10" s="242" t="s">
        <v>206</v>
      </c>
      <c r="E10" s="241" t="s">
        <v>218</v>
      </c>
      <c r="F10" s="244" t="s">
        <v>219</v>
      </c>
    </row>
    <row r="11" spans="1:6">
      <c r="A11" s="243"/>
      <c r="B11" s="237" t="s">
        <v>216</v>
      </c>
      <c r="C11" s="238">
        <v>46197</v>
      </c>
      <c r="D11" s="242"/>
      <c r="E11" s="241"/>
      <c r="F11" s="244"/>
    </row>
    <row r="12" spans="1:6">
      <c r="A12" s="243" t="s">
        <v>202</v>
      </c>
      <c r="B12" s="235" t="s">
        <v>203</v>
      </c>
      <c r="C12" s="236" t="s">
        <v>213</v>
      </c>
      <c r="D12" s="242" t="s">
        <v>206</v>
      </c>
      <c r="E12" s="241" t="s">
        <v>207</v>
      </c>
      <c r="F12" s="244" t="s">
        <v>214</v>
      </c>
    </row>
    <row r="13" spans="1:6">
      <c r="A13" s="243"/>
      <c r="B13" s="237" t="s">
        <v>220</v>
      </c>
      <c r="C13" s="238">
        <v>46196</v>
      </c>
      <c r="D13" s="242"/>
      <c r="E13" s="241"/>
      <c r="F13" s="244"/>
    </row>
    <row r="14" spans="1:6">
      <c r="A14" s="243" t="s">
        <v>202</v>
      </c>
      <c r="B14" s="235" t="s">
        <v>215</v>
      </c>
      <c r="C14" s="236" t="s">
        <v>217</v>
      </c>
      <c r="D14" s="242" t="s">
        <v>206</v>
      </c>
      <c r="E14" s="241" t="s">
        <v>222</v>
      </c>
      <c r="F14" s="244" t="s">
        <v>223</v>
      </c>
    </row>
    <row r="15" spans="1:6">
      <c r="A15" s="243"/>
      <c r="B15" s="237" t="s">
        <v>221</v>
      </c>
      <c r="C15" s="238">
        <v>46196</v>
      </c>
      <c r="D15" s="242"/>
      <c r="E15" s="241"/>
      <c r="F15" s="244"/>
    </row>
    <row r="16" spans="1:6">
      <c r="A16" s="243" t="s">
        <v>202</v>
      </c>
      <c r="B16" s="235" t="s">
        <v>203</v>
      </c>
      <c r="C16" s="236" t="s">
        <v>205</v>
      </c>
      <c r="D16" s="242" t="s">
        <v>206</v>
      </c>
      <c r="E16" s="241" t="s">
        <v>207</v>
      </c>
      <c r="F16" s="244" t="s">
        <v>208</v>
      </c>
    </row>
    <row r="17" spans="1:6">
      <c r="A17" s="243"/>
      <c r="B17" s="237" t="s">
        <v>224</v>
      </c>
      <c r="C17" s="238">
        <v>46196</v>
      </c>
      <c r="D17" s="242"/>
      <c r="E17" s="241"/>
      <c r="F17" s="244"/>
    </row>
    <row r="18" spans="1:6">
      <c r="A18" s="243" t="s">
        <v>202</v>
      </c>
      <c r="B18" s="235" t="s">
        <v>215</v>
      </c>
      <c r="C18" s="236" t="s">
        <v>217</v>
      </c>
      <c r="D18" s="242" t="s">
        <v>206</v>
      </c>
      <c r="E18" s="241" t="s">
        <v>210</v>
      </c>
      <c r="F18" s="244" t="s">
        <v>226</v>
      </c>
    </row>
    <row r="19" spans="1:6">
      <c r="A19" s="243"/>
      <c r="B19" s="237" t="s">
        <v>225</v>
      </c>
      <c r="C19" s="238">
        <v>46195</v>
      </c>
      <c r="D19" s="242"/>
      <c r="E19" s="241"/>
      <c r="F19" s="244"/>
    </row>
    <row r="20" spans="1:6">
      <c r="A20" s="243" t="s">
        <v>202</v>
      </c>
      <c r="B20" s="235" t="s">
        <v>203</v>
      </c>
      <c r="C20" s="236" t="s">
        <v>205</v>
      </c>
      <c r="D20" s="242" t="s">
        <v>206</v>
      </c>
      <c r="E20" s="241" t="s">
        <v>207</v>
      </c>
      <c r="F20" s="244" t="s">
        <v>208</v>
      </c>
    </row>
    <row r="21" spans="1:6">
      <c r="A21" s="243"/>
      <c r="B21" s="237" t="s">
        <v>227</v>
      </c>
      <c r="C21" s="238">
        <v>46195</v>
      </c>
      <c r="D21" s="242"/>
      <c r="E21" s="241"/>
      <c r="F21" s="244"/>
    </row>
    <row r="22" spans="1:6">
      <c r="A22" s="243" t="s">
        <v>202</v>
      </c>
      <c r="B22" s="235" t="s">
        <v>215</v>
      </c>
      <c r="C22" s="236" t="s">
        <v>217</v>
      </c>
      <c r="D22" s="242" t="s">
        <v>206</v>
      </c>
      <c r="E22" s="241" t="s">
        <v>222</v>
      </c>
      <c r="F22" s="244" t="s">
        <v>223</v>
      </c>
    </row>
    <row r="23" spans="1:6">
      <c r="A23" s="243"/>
      <c r="B23" s="237" t="s">
        <v>228</v>
      </c>
      <c r="C23" s="238">
        <v>46192</v>
      </c>
      <c r="D23" s="242"/>
      <c r="E23" s="241"/>
      <c r="F23" s="244"/>
    </row>
    <row r="24" spans="1:6">
      <c r="A24" s="243" t="s">
        <v>202</v>
      </c>
      <c r="B24" s="235" t="s">
        <v>215</v>
      </c>
      <c r="C24" s="236" t="s">
        <v>217</v>
      </c>
      <c r="D24" s="242" t="s">
        <v>206</v>
      </c>
      <c r="E24" s="241" t="s">
        <v>222</v>
      </c>
      <c r="F24" s="244" t="s">
        <v>223</v>
      </c>
    </row>
    <row r="25" spans="1:6">
      <c r="A25" s="243"/>
      <c r="B25" s="237" t="s">
        <v>228</v>
      </c>
      <c r="C25" s="238">
        <v>46191</v>
      </c>
      <c r="D25" s="242"/>
      <c r="E25" s="241"/>
      <c r="F25" s="244"/>
    </row>
    <row r="26" spans="1:6">
      <c r="A26" s="243" t="s">
        <v>202</v>
      </c>
      <c r="B26" s="235" t="s">
        <v>203</v>
      </c>
      <c r="C26" s="236" t="s">
        <v>213</v>
      </c>
      <c r="D26" s="242" t="s">
        <v>206</v>
      </c>
      <c r="E26" s="241" t="s">
        <v>207</v>
      </c>
      <c r="F26" s="244" t="s">
        <v>214</v>
      </c>
    </row>
    <row r="27" spans="1:6">
      <c r="A27" s="243"/>
      <c r="B27" s="237" t="s">
        <v>229</v>
      </c>
      <c r="C27" s="238">
        <v>46190</v>
      </c>
      <c r="D27" s="242"/>
      <c r="E27" s="241"/>
      <c r="F27" s="244"/>
    </row>
    <row r="28" spans="1:6">
      <c r="A28" s="243" t="s">
        <v>202</v>
      </c>
      <c r="B28" s="235" t="s">
        <v>203</v>
      </c>
      <c r="C28" s="236" t="s">
        <v>205</v>
      </c>
      <c r="D28" s="242" t="s">
        <v>206</v>
      </c>
      <c r="E28" s="241" t="s">
        <v>222</v>
      </c>
      <c r="F28" s="244" t="s">
        <v>231</v>
      </c>
    </row>
    <row r="29" spans="1:6">
      <c r="A29" s="243"/>
      <c r="B29" s="237" t="s">
        <v>230</v>
      </c>
      <c r="C29" s="238">
        <v>46190</v>
      </c>
      <c r="D29" s="242"/>
      <c r="E29" s="241"/>
      <c r="F29" s="244"/>
    </row>
    <row r="30" spans="1:6">
      <c r="A30" s="243" t="s">
        <v>202</v>
      </c>
      <c r="B30" s="235" t="s">
        <v>215</v>
      </c>
      <c r="C30" s="236" t="s">
        <v>217</v>
      </c>
      <c r="D30" s="242" t="s">
        <v>206</v>
      </c>
      <c r="E30" s="241" t="s">
        <v>207</v>
      </c>
      <c r="F30" s="244" t="s">
        <v>233</v>
      </c>
    </row>
    <row r="31" spans="1:6">
      <c r="A31" s="243"/>
      <c r="B31" s="237" t="s">
        <v>232</v>
      </c>
      <c r="C31" s="238">
        <v>46190</v>
      </c>
      <c r="D31" s="242"/>
      <c r="E31" s="241"/>
      <c r="F31" s="244"/>
    </row>
    <row r="32" spans="1:6">
      <c r="A32" s="243" t="s">
        <v>202</v>
      </c>
      <c r="B32" s="235" t="s">
        <v>203</v>
      </c>
      <c r="C32" s="236" t="s">
        <v>213</v>
      </c>
      <c r="D32" s="242" t="s">
        <v>206</v>
      </c>
      <c r="E32" s="241" t="s">
        <v>207</v>
      </c>
      <c r="F32" s="244" t="s">
        <v>214</v>
      </c>
    </row>
    <row r="33" spans="1:6">
      <c r="A33" s="243"/>
      <c r="B33" s="237" t="s">
        <v>234</v>
      </c>
      <c r="C33" s="238">
        <v>46189</v>
      </c>
      <c r="D33" s="242"/>
      <c r="E33" s="241"/>
      <c r="F33" s="244"/>
    </row>
    <row r="34" spans="1:6">
      <c r="A34" s="243" t="s">
        <v>202</v>
      </c>
      <c r="B34" s="235" t="s">
        <v>203</v>
      </c>
      <c r="C34" s="236" t="s">
        <v>213</v>
      </c>
      <c r="D34" s="242" t="s">
        <v>206</v>
      </c>
      <c r="E34" s="241" t="s">
        <v>222</v>
      </c>
      <c r="F34" s="244" t="s">
        <v>236</v>
      </c>
    </row>
    <row r="35" spans="1:6">
      <c r="A35" s="243"/>
      <c r="B35" s="237" t="s">
        <v>235</v>
      </c>
      <c r="C35" s="238">
        <v>46185</v>
      </c>
      <c r="D35" s="242"/>
      <c r="E35" s="241"/>
      <c r="F35" s="244"/>
    </row>
    <row r="36" spans="1:6">
      <c r="A36" s="243" t="s">
        <v>202</v>
      </c>
      <c r="B36" s="235" t="s">
        <v>215</v>
      </c>
      <c r="C36" s="236" t="s">
        <v>217</v>
      </c>
      <c r="D36" s="242" t="s">
        <v>206</v>
      </c>
      <c r="E36" s="241" t="s">
        <v>222</v>
      </c>
      <c r="F36" s="244" t="s">
        <v>223</v>
      </c>
    </row>
    <row r="37" spans="1:6">
      <c r="A37" s="243"/>
      <c r="B37" s="237" t="s">
        <v>237</v>
      </c>
      <c r="C37" s="238">
        <v>46185</v>
      </c>
      <c r="D37" s="242"/>
      <c r="E37" s="241"/>
      <c r="F37" s="244"/>
    </row>
    <row r="38" spans="1:6">
      <c r="A38" s="243" t="s">
        <v>202</v>
      </c>
      <c r="B38" s="235" t="s">
        <v>203</v>
      </c>
      <c r="C38" s="236" t="s">
        <v>205</v>
      </c>
      <c r="D38" s="242" t="s">
        <v>206</v>
      </c>
      <c r="E38" s="241" t="s">
        <v>207</v>
      </c>
      <c r="F38" s="244" t="s">
        <v>208</v>
      </c>
    </row>
    <row r="39" spans="1:6">
      <c r="A39" s="243"/>
      <c r="B39" s="237" t="s">
        <v>238</v>
      </c>
      <c r="C39" s="238">
        <v>46185</v>
      </c>
      <c r="D39" s="242"/>
      <c r="E39" s="241"/>
      <c r="F39" s="244"/>
    </row>
    <row r="40" spans="1:6">
      <c r="A40" s="243" t="s">
        <v>202</v>
      </c>
      <c r="B40" s="235" t="s">
        <v>215</v>
      </c>
      <c r="C40" s="236" t="s">
        <v>217</v>
      </c>
      <c r="D40" s="242" t="s">
        <v>206</v>
      </c>
      <c r="E40" s="241" t="s">
        <v>218</v>
      </c>
      <c r="F40" s="244" t="s">
        <v>219</v>
      </c>
    </row>
    <row r="41" spans="1:6">
      <c r="A41" s="243"/>
      <c r="B41" s="237" t="s">
        <v>239</v>
      </c>
      <c r="C41" s="238">
        <v>46184</v>
      </c>
      <c r="D41" s="242"/>
      <c r="E41" s="241"/>
      <c r="F41" s="244"/>
    </row>
    <row r="42" spans="1:6">
      <c r="A42" s="243" t="s">
        <v>202</v>
      </c>
      <c r="B42" s="235" t="s">
        <v>215</v>
      </c>
      <c r="C42" s="236" t="s">
        <v>217</v>
      </c>
      <c r="D42" s="242" t="s">
        <v>206</v>
      </c>
      <c r="E42" s="241" t="s">
        <v>207</v>
      </c>
      <c r="F42" s="244" t="s">
        <v>233</v>
      </c>
    </row>
    <row r="43" spans="1:6">
      <c r="A43" s="243"/>
      <c r="B43" s="237" t="s">
        <v>240</v>
      </c>
      <c r="C43" s="238">
        <v>46183</v>
      </c>
      <c r="D43" s="242"/>
      <c r="E43" s="241"/>
      <c r="F43" s="244"/>
    </row>
    <row r="44" spans="1:6">
      <c r="A44" s="243" t="s">
        <v>202</v>
      </c>
      <c r="B44" s="235" t="s">
        <v>215</v>
      </c>
      <c r="C44" s="236" t="s">
        <v>217</v>
      </c>
      <c r="D44" s="242" t="s">
        <v>206</v>
      </c>
      <c r="E44" s="241" t="s">
        <v>210</v>
      </c>
      <c r="F44" s="244" t="s">
        <v>226</v>
      </c>
    </row>
    <row r="45" spans="1:6">
      <c r="A45" s="243"/>
      <c r="B45" s="237" t="s">
        <v>241</v>
      </c>
      <c r="C45" s="238">
        <v>46178</v>
      </c>
      <c r="D45" s="242"/>
      <c r="E45" s="241"/>
      <c r="F45" s="244"/>
    </row>
    <row r="46" spans="1:6">
      <c r="A46" s="243" t="s">
        <v>202</v>
      </c>
      <c r="B46" s="235" t="s">
        <v>203</v>
      </c>
      <c r="C46" s="236" t="s">
        <v>205</v>
      </c>
      <c r="D46" s="242" t="s">
        <v>206</v>
      </c>
      <c r="E46" s="241" t="s">
        <v>222</v>
      </c>
      <c r="F46" s="244" t="s">
        <v>231</v>
      </c>
    </row>
    <row r="47" spans="1:6">
      <c r="A47" s="243"/>
      <c r="B47" s="237" t="s">
        <v>242</v>
      </c>
      <c r="C47" s="238">
        <v>46177</v>
      </c>
      <c r="D47" s="242"/>
      <c r="E47" s="241"/>
      <c r="F47" s="244"/>
    </row>
    <row r="48" spans="1:6">
      <c r="A48" s="243" t="s">
        <v>202</v>
      </c>
      <c r="B48" s="235" t="s">
        <v>203</v>
      </c>
      <c r="C48" s="236" t="s">
        <v>213</v>
      </c>
      <c r="D48" s="242" t="s">
        <v>206</v>
      </c>
      <c r="E48" s="241" t="s">
        <v>207</v>
      </c>
      <c r="F48" s="244" t="s">
        <v>214</v>
      </c>
    </row>
    <row r="49" spans="1:6">
      <c r="A49" s="243"/>
      <c r="B49" s="237" t="s">
        <v>243</v>
      </c>
      <c r="C49" s="238">
        <v>46177</v>
      </c>
      <c r="D49" s="242"/>
      <c r="E49" s="241"/>
      <c r="F49" s="244"/>
    </row>
    <row r="50" spans="1:6">
      <c r="A50" s="243" t="s">
        <v>202</v>
      </c>
      <c r="B50" s="235" t="s">
        <v>215</v>
      </c>
      <c r="C50" s="236" t="s">
        <v>217</v>
      </c>
      <c r="D50" s="242" t="s">
        <v>206</v>
      </c>
      <c r="E50" s="241" t="s">
        <v>210</v>
      </c>
      <c r="F50" s="244" t="s">
        <v>226</v>
      </c>
    </row>
    <row r="51" spans="1:6">
      <c r="A51" s="243"/>
      <c r="B51" s="237" t="s">
        <v>244</v>
      </c>
      <c r="C51" s="238">
        <v>46177</v>
      </c>
      <c r="D51" s="242"/>
      <c r="E51" s="241"/>
      <c r="F51" s="244"/>
    </row>
    <row r="52" spans="1:6">
      <c r="A52" s="243" t="s">
        <v>202</v>
      </c>
      <c r="B52" s="235" t="s">
        <v>203</v>
      </c>
      <c r="C52" s="236" t="s">
        <v>213</v>
      </c>
      <c r="D52" s="242" t="s">
        <v>206</v>
      </c>
      <c r="E52" s="241" t="s">
        <v>207</v>
      </c>
      <c r="F52" s="244" t="s">
        <v>214</v>
      </c>
    </row>
    <row r="53" spans="1:6">
      <c r="A53" s="243"/>
      <c r="B53" s="237" t="s">
        <v>245</v>
      </c>
      <c r="C53" s="238">
        <v>46174</v>
      </c>
      <c r="D53" s="242"/>
      <c r="E53" s="241"/>
      <c r="F53" s="244"/>
    </row>
    <row r="54" spans="1:6">
      <c r="A54" s="240" t="s">
        <v>246</v>
      </c>
      <c r="B54" s="240"/>
      <c r="C54" s="240"/>
      <c r="D54" s="240"/>
      <c r="E54" s="240" t="s">
        <v>247</v>
      </c>
      <c r="F54" s="240" t="s">
        <v>248</v>
      </c>
    </row>
    <row r="55" spans="1:6">
      <c r="A55" s="235" t="s">
        <v>249</v>
      </c>
    </row>
    <row r="56" spans="1:6">
      <c r="A56" s="240" t="s">
        <v>200</v>
      </c>
      <c r="B56" s="245" t="s">
        <v>247</v>
      </c>
    </row>
    <row r="57" spans="1:6">
      <c r="A57" s="239"/>
    </row>
    <row r="58" spans="1:6">
      <c r="A58" s="240" t="s">
        <v>201</v>
      </c>
      <c r="B58" s="239" t="s">
        <v>248</v>
      </c>
      <c r="C58" s="239" t="s">
        <v>247</v>
      </c>
    </row>
  </sheetData>
  <mergeCells count="105">
    <mergeCell ref="A50:A51"/>
    <mergeCell ref="D50:D51"/>
    <mergeCell ref="E50:E51"/>
    <mergeCell ref="F50:F51"/>
    <mergeCell ref="A52:A53"/>
    <mergeCell ref="D52:D53"/>
    <mergeCell ref="E52:E53"/>
    <mergeCell ref="F52:F53"/>
    <mergeCell ref="A46:A47"/>
    <mergeCell ref="D46:D47"/>
    <mergeCell ref="E46:E47"/>
    <mergeCell ref="F46:F47"/>
    <mergeCell ref="A48:A49"/>
    <mergeCell ref="D48:D49"/>
    <mergeCell ref="E48:E49"/>
    <mergeCell ref="F48:F49"/>
    <mergeCell ref="A42:A43"/>
    <mergeCell ref="D42:D43"/>
    <mergeCell ref="E42:E43"/>
    <mergeCell ref="F42:F43"/>
    <mergeCell ref="A44:A45"/>
    <mergeCell ref="D44:D45"/>
    <mergeCell ref="E44:E45"/>
    <mergeCell ref="F44:F45"/>
    <mergeCell ref="A38:A39"/>
    <mergeCell ref="D38:D39"/>
    <mergeCell ref="E38:E39"/>
    <mergeCell ref="F38:F39"/>
    <mergeCell ref="A40:A41"/>
    <mergeCell ref="D40:D41"/>
    <mergeCell ref="E40:E41"/>
    <mergeCell ref="F40:F41"/>
    <mergeCell ref="A34:A35"/>
    <mergeCell ref="D34:D35"/>
    <mergeCell ref="E34:E35"/>
    <mergeCell ref="F34:F35"/>
    <mergeCell ref="A36:A37"/>
    <mergeCell ref="D36:D37"/>
    <mergeCell ref="E36:E37"/>
    <mergeCell ref="F36:F37"/>
    <mergeCell ref="A30:A31"/>
    <mergeCell ref="D30:D31"/>
    <mergeCell ref="E30:E31"/>
    <mergeCell ref="F30:F31"/>
    <mergeCell ref="A32:A33"/>
    <mergeCell ref="D32:D33"/>
    <mergeCell ref="E32:E33"/>
    <mergeCell ref="F32:F33"/>
    <mergeCell ref="A26:A27"/>
    <mergeCell ref="D26:D27"/>
    <mergeCell ref="E26:E27"/>
    <mergeCell ref="F26:F27"/>
    <mergeCell ref="A28:A29"/>
    <mergeCell ref="D28:D29"/>
    <mergeCell ref="E28:E29"/>
    <mergeCell ref="F28:F29"/>
    <mergeCell ref="A22:A23"/>
    <mergeCell ref="D22:D23"/>
    <mergeCell ref="E22:E23"/>
    <mergeCell ref="F22:F23"/>
    <mergeCell ref="A24:A25"/>
    <mergeCell ref="D24:D25"/>
    <mergeCell ref="E24:E25"/>
    <mergeCell ref="F24:F25"/>
    <mergeCell ref="A18:A19"/>
    <mergeCell ref="D18:D19"/>
    <mergeCell ref="E18:E19"/>
    <mergeCell ref="F18:F19"/>
    <mergeCell ref="A20:A21"/>
    <mergeCell ref="D20:D21"/>
    <mergeCell ref="E20:E21"/>
    <mergeCell ref="F20:F21"/>
    <mergeCell ref="A14:A15"/>
    <mergeCell ref="D14:D15"/>
    <mergeCell ref="E14:E15"/>
    <mergeCell ref="F14:F15"/>
    <mergeCell ref="A16:A17"/>
    <mergeCell ref="D16:D17"/>
    <mergeCell ref="E16:E17"/>
    <mergeCell ref="F16:F17"/>
    <mergeCell ref="A10:A11"/>
    <mergeCell ref="D10:D11"/>
    <mergeCell ref="E10:E11"/>
    <mergeCell ref="F10:F11"/>
    <mergeCell ref="A12:A13"/>
    <mergeCell ref="D12:D13"/>
    <mergeCell ref="E12:E13"/>
    <mergeCell ref="F12:F13"/>
    <mergeCell ref="A6:A7"/>
    <mergeCell ref="D6:D7"/>
    <mergeCell ref="E6:E7"/>
    <mergeCell ref="F6:F7"/>
    <mergeCell ref="A8:A9"/>
    <mergeCell ref="D8:D9"/>
    <mergeCell ref="E8:E9"/>
    <mergeCell ref="F8:F9"/>
    <mergeCell ref="A2:A3"/>
    <mergeCell ref="B2:B3"/>
    <mergeCell ref="D2:D3"/>
    <mergeCell ref="E2:E3"/>
    <mergeCell ref="F2:F3"/>
    <mergeCell ref="A4:A5"/>
    <mergeCell ref="D4:D5"/>
    <mergeCell ref="E4:E5"/>
    <mergeCell ref="F4:F5"/>
  </mergeCells>
  <hyperlinks>
    <hyperlink ref="A1" r:id="rId1" location="/project/13278709" display="https://my.freshbooks.com/ - /project/13278709" xr:uid="{76FA52F1-64BF-BD40-A964-E1F64FE5615C}"/>
    <hyperlink ref="A4" r:id="rId2" location="/client/2022927" display="https://my.freshbooks.com/ - /client/2022927" xr:uid="{2D10E884-BA21-8545-BD44-0C2E34E41AAE}"/>
    <hyperlink ref="A6" r:id="rId3" location="/client/2022927" display="https://my.freshbooks.com/ - /client/2022927" xr:uid="{190D9B96-5C51-C54B-A0CA-B49A2B12C245}"/>
    <hyperlink ref="A8" r:id="rId4" location="/client/2022927" display="https://my.freshbooks.com/ - /client/2022927" xr:uid="{A0AA8381-D007-3E4A-9DD3-77F59977B898}"/>
    <hyperlink ref="A10" r:id="rId5" location="/client/2022927" display="https://my.freshbooks.com/ - /client/2022927" xr:uid="{6A866F0E-1779-1A4A-945C-A16084F8245A}"/>
    <hyperlink ref="A12" r:id="rId6" location="/client/2022927" display="https://my.freshbooks.com/ - /client/2022927" xr:uid="{5E9CE88C-DDC4-9446-BC07-85075ED3812E}"/>
    <hyperlink ref="A14" r:id="rId7" location="/client/2022927" display="https://my.freshbooks.com/ - /client/2022927" xr:uid="{9E46F5B8-1E48-BD47-BFEB-C7BF0D52401A}"/>
    <hyperlink ref="A16" r:id="rId8" location="/client/2022927" display="https://my.freshbooks.com/ - /client/2022927" xr:uid="{1DE65FF4-CACB-3145-8F40-5B356E4A1C9E}"/>
    <hyperlink ref="A18" r:id="rId9" location="/client/2022927" display="https://my.freshbooks.com/ - /client/2022927" xr:uid="{E0B799B1-A294-C746-B9E0-4D3B9C5355DE}"/>
    <hyperlink ref="A20" r:id="rId10" location="/client/2022927" display="https://my.freshbooks.com/ - /client/2022927" xr:uid="{9E95340D-90AA-BB4E-BA4F-1BB64CE6FBDB}"/>
    <hyperlink ref="A22" r:id="rId11" location="/client/2022927" display="https://my.freshbooks.com/ - /client/2022927" xr:uid="{CB2CDC18-2E59-CF4E-B4BA-2A701E361F21}"/>
    <hyperlink ref="A24" r:id="rId12" location="/client/2022927" display="https://my.freshbooks.com/ - /client/2022927" xr:uid="{DB63B32A-F7A7-BD45-B9A7-007EABBF1B81}"/>
    <hyperlink ref="A26" r:id="rId13" location="/client/2022927" display="https://my.freshbooks.com/ - /client/2022927" xr:uid="{2BCA56C8-A31E-3A4C-ADFA-5A910080B836}"/>
    <hyperlink ref="A28" r:id="rId14" location="/client/2022927" display="https://my.freshbooks.com/ - /client/2022927" xr:uid="{FB559FA9-0826-5748-B9FE-79F604A9B962}"/>
    <hyperlink ref="A30" r:id="rId15" location="/client/2022927" display="https://my.freshbooks.com/ - /client/2022927" xr:uid="{4E39AB1F-166A-1344-BBC2-A80AE978DDA2}"/>
    <hyperlink ref="A32" r:id="rId16" location="/client/2022927" display="https://my.freshbooks.com/ - /client/2022927" xr:uid="{3EB3236B-95B6-7742-BD63-8483CDC2DA42}"/>
    <hyperlink ref="A34" r:id="rId17" location="/client/2022927" display="https://my.freshbooks.com/ - /client/2022927" xr:uid="{21D6994B-CBE2-874D-B5E6-B26D461DC72D}"/>
    <hyperlink ref="A36" r:id="rId18" location="/client/2022927" display="https://my.freshbooks.com/ - /client/2022927" xr:uid="{0EBCC15D-2866-FC44-8EC4-A07B93273A76}"/>
    <hyperlink ref="A38" r:id="rId19" location="/client/2022927" display="https://my.freshbooks.com/ - /client/2022927" xr:uid="{C94A0EDC-3270-7344-8705-6924F658049F}"/>
    <hyperlink ref="A40" r:id="rId20" location="/client/2022927" display="https://my.freshbooks.com/ - /client/2022927" xr:uid="{5F9E8953-F2EA-7C40-BA8E-661309005066}"/>
    <hyperlink ref="A42" r:id="rId21" location="/client/2022927" display="https://my.freshbooks.com/ - /client/2022927" xr:uid="{1032236E-6C38-7343-811A-6E8ADE2E1834}"/>
    <hyperlink ref="A44" r:id="rId22" location="/client/2022927" display="https://my.freshbooks.com/ - /client/2022927" xr:uid="{72F4C5F9-9742-B640-894F-0A86AAE88FBB}"/>
    <hyperlink ref="A46" r:id="rId23" location="/client/2022927" display="https://my.freshbooks.com/ - /client/2022927" xr:uid="{06E26C80-6789-1C4F-B8C2-11A5AF610AF2}"/>
    <hyperlink ref="A48" r:id="rId24" location="/client/2022927" display="https://my.freshbooks.com/ - /client/2022927" xr:uid="{AE775FC2-85E3-EB4A-BA2B-2436F175DE59}"/>
    <hyperlink ref="A50" r:id="rId25" location="/client/2022927" display="https://my.freshbooks.com/ - /client/2022927" xr:uid="{ECD92089-704E-CE4E-A534-281B58C86F1A}"/>
    <hyperlink ref="A52" r:id="rId26" location="/client/2022927" display="https://my.freshbooks.com/ - /client/2022927" xr:uid="{B7C11261-DCE1-ED43-9558-CCF17B9ADC9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1EEE4-DC8D-8F4D-9635-F7E6479118B1}">
  <dimension ref="E1:J6"/>
  <sheetViews>
    <sheetView workbookViewId="0">
      <selection activeCell="F9" sqref="F9"/>
    </sheetView>
  </sheetViews>
  <sheetFormatPr baseColWidth="10" defaultRowHeight="15"/>
  <cols>
    <col min="5" max="5" width="53.1640625" bestFit="1" customWidth="1"/>
  </cols>
  <sheetData>
    <row r="1" spans="5:10">
      <c r="E1" s="144"/>
      <c r="F1" s="144" t="s">
        <v>184</v>
      </c>
      <c r="G1" s="144" t="s">
        <v>185</v>
      </c>
      <c r="H1" s="144" t="s">
        <v>186</v>
      </c>
      <c r="I1" s="144" t="s">
        <v>187</v>
      </c>
      <c r="J1" s="144"/>
    </row>
    <row r="2" spans="5:10">
      <c r="E2" s="145" t="s">
        <v>148</v>
      </c>
      <c r="F2" s="146">
        <v>8206.69</v>
      </c>
      <c r="G2" s="144"/>
      <c r="H2" s="144"/>
      <c r="I2" s="144"/>
      <c r="J2" s="147">
        <f>SUM(F2:I2)</f>
        <v>8206.69</v>
      </c>
    </row>
    <row r="3" spans="5:10">
      <c r="E3" s="145" t="s">
        <v>149</v>
      </c>
      <c r="F3" s="144"/>
      <c r="G3" s="144"/>
      <c r="H3" s="144"/>
      <c r="I3" s="144"/>
      <c r="J3" s="147">
        <f t="shared" ref="J3:J6" si="0">SUM(F3:I3)</f>
        <v>0</v>
      </c>
    </row>
    <row r="4" spans="5:10">
      <c r="E4" s="145" t="s">
        <v>150</v>
      </c>
      <c r="F4" s="144"/>
      <c r="G4" s="144"/>
      <c r="H4" s="144"/>
      <c r="I4" s="144"/>
      <c r="J4" s="147">
        <f t="shared" si="0"/>
        <v>0</v>
      </c>
    </row>
    <row r="5" spans="5:10">
      <c r="E5" s="145" t="s">
        <v>151</v>
      </c>
      <c r="F5" s="144"/>
      <c r="G5" s="144"/>
      <c r="H5" s="144"/>
      <c r="I5" s="144"/>
      <c r="J5" s="147">
        <f t="shared" si="0"/>
        <v>0</v>
      </c>
    </row>
    <row r="6" spans="5:10">
      <c r="E6" s="144"/>
      <c r="F6" s="147">
        <f>SUM(F2:F5)</f>
        <v>8206.69</v>
      </c>
      <c r="G6" s="147">
        <f t="shared" ref="G6:I6" si="1">SUM(G2:G5)</f>
        <v>0</v>
      </c>
      <c r="H6" s="147">
        <f t="shared" si="1"/>
        <v>0</v>
      </c>
      <c r="I6" s="147">
        <f t="shared" si="1"/>
        <v>0</v>
      </c>
      <c r="J6" s="147">
        <f t="shared" si="0"/>
        <v>8206.69</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2638E-E7CF-420A-ACD4-046C414DA471}">
  <sheetPr>
    <pageSetUpPr fitToPage="1"/>
  </sheetPr>
  <dimension ref="B1:H36"/>
  <sheetViews>
    <sheetView view="pageBreakPreview" zoomScale="172" zoomScaleNormal="100" zoomScaleSheetLayoutView="115" workbookViewId="0">
      <selection activeCell="B16" sqref="B16:F16"/>
    </sheetView>
  </sheetViews>
  <sheetFormatPr baseColWidth="10" defaultColWidth="8.83203125" defaultRowHeight="15"/>
  <cols>
    <col min="1" max="1" width="2.83203125" customWidth="1"/>
    <col min="2" max="2" width="21.5" customWidth="1"/>
    <col min="3" max="3" width="21.1640625" customWidth="1"/>
    <col min="4" max="5" width="12.5" customWidth="1"/>
    <col min="6" max="6" width="32.5" customWidth="1"/>
  </cols>
  <sheetData>
    <row r="1" spans="2:8" ht="38">
      <c r="B1" s="174" t="s">
        <v>53</v>
      </c>
      <c r="C1" s="174"/>
      <c r="D1" s="174"/>
      <c r="E1" s="174"/>
      <c r="F1" s="174"/>
    </row>
    <row r="2" spans="2:8">
      <c r="B2" s="1" t="s">
        <v>34</v>
      </c>
      <c r="C2" s="2" t="s">
        <v>130</v>
      </c>
      <c r="D2" s="3"/>
      <c r="E2" s="3"/>
      <c r="F2" s="3"/>
    </row>
    <row r="3" spans="2:8">
      <c r="B3" s="5" t="s">
        <v>35</v>
      </c>
      <c r="C3" s="2" t="s">
        <v>131</v>
      </c>
      <c r="D3" s="6"/>
      <c r="E3" s="2"/>
      <c r="F3" s="6"/>
    </row>
    <row r="4" spans="2:8">
      <c r="B4" s="5" t="s">
        <v>36</v>
      </c>
      <c r="C4" s="114" t="s">
        <v>132</v>
      </c>
      <c r="D4" s="6"/>
      <c r="E4" s="2"/>
      <c r="F4" s="6"/>
    </row>
    <row r="5" spans="2:8">
      <c r="B5" s="5" t="s">
        <v>128</v>
      </c>
      <c r="C5" s="7">
        <v>203434</v>
      </c>
      <c r="D5" s="6"/>
      <c r="E5" s="2"/>
      <c r="F5" s="6"/>
    </row>
    <row r="6" spans="2:8" ht="15.75" customHeight="1">
      <c r="B6" s="5" t="s">
        <v>37</v>
      </c>
      <c r="C6" s="148" t="s">
        <v>133</v>
      </c>
      <c r="D6" s="148"/>
      <c r="E6" s="148"/>
      <c r="F6" s="148"/>
    </row>
    <row r="7" spans="2:8">
      <c r="B7" s="5" t="s">
        <v>39</v>
      </c>
      <c r="C7" s="148" t="s">
        <v>166</v>
      </c>
      <c r="D7" s="148"/>
      <c r="E7" s="148"/>
      <c r="F7" s="148"/>
    </row>
    <row r="8" spans="2:8">
      <c r="B8" s="5" t="s">
        <v>4</v>
      </c>
      <c r="C8" s="7" t="s">
        <v>188</v>
      </c>
      <c r="D8" s="6"/>
      <c r="E8" s="2"/>
      <c r="F8" s="6"/>
      <c r="H8" s="20"/>
    </row>
    <row r="9" spans="2:8">
      <c r="B9" s="5" t="s">
        <v>38</v>
      </c>
      <c r="C9" s="8" t="str">
        <f>'1-Invoice Cover Sheet'!B15</f>
        <v>06/01/2026-06/30/2026</v>
      </c>
      <c r="D9" s="6"/>
      <c r="E9" s="2"/>
      <c r="F9" s="6"/>
      <c r="H9" s="20"/>
    </row>
    <row r="10" spans="2:8">
      <c r="H10" s="20"/>
    </row>
    <row r="11" spans="2:8">
      <c r="H11" s="20"/>
    </row>
    <row r="12" spans="2:8">
      <c r="B12" s="5" t="s">
        <v>56</v>
      </c>
      <c r="H12" s="20"/>
    </row>
    <row r="13" spans="2:8">
      <c r="B13" s="2" t="s">
        <v>58</v>
      </c>
      <c r="H13" s="20"/>
    </row>
    <row r="14" spans="2:8" ht="86" customHeight="1">
      <c r="B14" s="176" t="s">
        <v>191</v>
      </c>
      <c r="C14" s="177"/>
      <c r="D14" s="177"/>
      <c r="E14" s="177"/>
      <c r="F14" s="177"/>
      <c r="H14" s="20"/>
    </row>
    <row r="15" spans="2:8">
      <c r="B15" s="173" t="s">
        <v>168</v>
      </c>
      <c r="C15" s="173"/>
      <c r="D15" s="173"/>
      <c r="E15" s="173"/>
      <c r="F15" s="173"/>
    </row>
    <row r="16" spans="2:8" s="138" customFormat="1" ht="162" customHeight="1">
      <c r="B16" s="175" t="s">
        <v>190</v>
      </c>
      <c r="C16" s="173"/>
      <c r="D16" s="173"/>
      <c r="E16" s="173"/>
      <c r="F16" s="173"/>
    </row>
    <row r="17" spans="2:6">
      <c r="B17" s="171"/>
      <c r="C17" s="171"/>
      <c r="D17" s="171"/>
      <c r="E17" s="171"/>
      <c r="F17" s="171"/>
    </row>
    <row r="18" spans="2:6">
      <c r="B18" s="172"/>
      <c r="C18" s="172"/>
      <c r="D18" s="172"/>
      <c r="E18" s="172"/>
      <c r="F18" s="172"/>
    </row>
    <row r="19" spans="2:6">
      <c r="B19" s="173" t="s">
        <v>169</v>
      </c>
      <c r="C19" s="173"/>
      <c r="D19" s="173"/>
      <c r="E19" s="173"/>
      <c r="F19" s="173"/>
    </row>
    <row r="20" spans="2:6" ht="56" customHeight="1">
      <c r="B20" s="175" t="s">
        <v>192</v>
      </c>
      <c r="C20" s="173"/>
      <c r="D20" s="173"/>
      <c r="E20" s="173"/>
      <c r="F20" s="173"/>
    </row>
    <row r="21" spans="2:6">
      <c r="B21" s="172"/>
      <c r="C21" s="172"/>
      <c r="D21" s="172"/>
      <c r="E21" s="172"/>
      <c r="F21" s="172"/>
    </row>
    <row r="22" spans="2:6">
      <c r="B22" s="171"/>
      <c r="C22" s="171"/>
      <c r="D22" s="171"/>
      <c r="E22" s="171"/>
      <c r="F22" s="171"/>
    </row>
    <row r="23" spans="2:6">
      <c r="B23" s="173" t="s">
        <v>170</v>
      </c>
      <c r="C23" s="173"/>
      <c r="D23" s="173"/>
      <c r="E23" s="173"/>
      <c r="F23" s="173"/>
    </row>
    <row r="24" spans="2:6" ht="79" customHeight="1">
      <c r="B24" s="175" t="s">
        <v>193</v>
      </c>
      <c r="C24" s="173"/>
      <c r="D24" s="173"/>
      <c r="E24" s="173"/>
      <c r="F24" s="173"/>
    </row>
    <row r="25" spans="2:6">
      <c r="B25" s="171"/>
      <c r="C25" s="171"/>
      <c r="D25" s="171"/>
      <c r="E25" s="171"/>
      <c r="F25" s="171"/>
    </row>
    <row r="26" spans="2:6">
      <c r="B26" s="172"/>
      <c r="C26" s="172"/>
      <c r="D26" s="172"/>
      <c r="E26" s="172"/>
      <c r="F26" s="172"/>
    </row>
    <row r="27" spans="2:6">
      <c r="B27" s="172"/>
      <c r="C27" s="172"/>
      <c r="D27" s="172"/>
      <c r="E27" s="172"/>
      <c r="F27" s="172"/>
    </row>
    <row r="28" spans="2:6">
      <c r="B28" s="173"/>
      <c r="C28" s="173"/>
      <c r="D28" s="173"/>
      <c r="E28" s="173"/>
      <c r="F28" s="173"/>
    </row>
    <row r="29" spans="2:6">
      <c r="B29" s="171"/>
      <c r="C29" s="171"/>
      <c r="D29" s="171"/>
      <c r="E29" s="171"/>
      <c r="F29" s="171"/>
    </row>
    <row r="30" spans="2:6">
      <c r="B30" s="172"/>
      <c r="C30" s="172"/>
      <c r="D30" s="172"/>
      <c r="E30" s="172"/>
      <c r="F30" s="172"/>
    </row>
    <row r="31" spans="2:6">
      <c r="B31" s="173"/>
      <c r="C31" s="173"/>
      <c r="D31" s="173"/>
      <c r="E31" s="173"/>
      <c r="F31" s="173"/>
    </row>
    <row r="32" spans="2:6">
      <c r="B32" s="171"/>
      <c r="C32" s="171"/>
      <c r="D32" s="171"/>
      <c r="E32" s="171"/>
      <c r="F32" s="171"/>
    </row>
    <row r="33" spans="2:6">
      <c r="B33" s="172"/>
      <c r="C33" s="172"/>
      <c r="D33" s="172"/>
      <c r="E33" s="172"/>
      <c r="F33" s="172"/>
    </row>
    <row r="34" spans="2:6">
      <c r="B34" s="173"/>
      <c r="C34" s="173"/>
      <c r="D34" s="173"/>
      <c r="E34" s="173"/>
      <c r="F34" s="173"/>
    </row>
    <row r="35" spans="2:6">
      <c r="B35" s="171"/>
      <c r="C35" s="171"/>
      <c r="D35" s="171"/>
      <c r="E35" s="171"/>
      <c r="F35" s="171"/>
    </row>
    <row r="36" spans="2:6" ht="9" customHeight="1">
      <c r="B36" s="171"/>
      <c r="C36" s="171"/>
      <c r="D36" s="171"/>
      <c r="E36" s="171"/>
      <c r="F36" s="171"/>
    </row>
  </sheetData>
  <mergeCells count="26">
    <mergeCell ref="B1:F1"/>
    <mergeCell ref="C6:F6"/>
    <mergeCell ref="C7:F7"/>
    <mergeCell ref="B30:F30"/>
    <mergeCell ref="B15:F15"/>
    <mergeCell ref="B16:F16"/>
    <mergeCell ref="B17:F17"/>
    <mergeCell ref="B18:F18"/>
    <mergeCell ref="B23:F23"/>
    <mergeCell ref="B24:F24"/>
    <mergeCell ref="B25:F25"/>
    <mergeCell ref="B14:F14"/>
    <mergeCell ref="B26:F26"/>
    <mergeCell ref="B19:F19"/>
    <mergeCell ref="B20:F20"/>
    <mergeCell ref="B21:F21"/>
    <mergeCell ref="B22:F22"/>
    <mergeCell ref="B35:F35"/>
    <mergeCell ref="B36:F36"/>
    <mergeCell ref="B27:F27"/>
    <mergeCell ref="B28:F28"/>
    <mergeCell ref="B29:F29"/>
    <mergeCell ref="B34:F34"/>
    <mergeCell ref="B31:F31"/>
    <mergeCell ref="B32:F32"/>
    <mergeCell ref="B33:F33"/>
  </mergeCells>
  <dataValidations count="1">
    <dataValidation allowBlank="1" showErrorMessage="1" promptTitle="Subconsultant Budgeting" prompt="Add Subconsultant Names on this row and costs by phase/task below.  To add additional columns, use Add Subconsultant macro._x000a__x000a_The first subconsultant's name must be entered before additional subconsultant columns can be inserted." sqref="C7" xr:uid="{F518FC16-768C-46D7-BA9B-02FD3FB0241E}"/>
  </dataValidations>
  <printOptions horizontalCentered="1"/>
  <pageMargins left="0.7" right="0.7" top="0.75" bottom="0.75" header="0.3" footer="0.3"/>
  <pageSetup scale="82"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
  <sheetViews>
    <sheetView view="pageBreakPreview" topLeftCell="A11" zoomScale="150" zoomScaleNormal="100" zoomScaleSheetLayoutView="115" workbookViewId="0">
      <selection activeCell="C23" sqref="C23:D23"/>
    </sheetView>
  </sheetViews>
  <sheetFormatPr baseColWidth="10" defaultColWidth="8.83203125" defaultRowHeight="11"/>
  <cols>
    <col min="1" max="1" width="8.83203125" style="20"/>
    <col min="2" max="2" width="9.83203125" style="20" customWidth="1"/>
    <col min="3" max="3" width="9.5" style="20" customWidth="1"/>
    <col min="4" max="4" width="10" style="20" customWidth="1"/>
    <col min="5" max="5" width="10.5" style="20" customWidth="1"/>
    <col min="6" max="6" width="11" style="20" customWidth="1"/>
    <col min="7" max="8" width="12.5" style="20" customWidth="1"/>
    <col min="9" max="9" width="12.5" style="20" bestFit="1" customWidth="1"/>
    <col min="10" max="10" width="10.5" style="20" customWidth="1"/>
    <col min="11" max="16384" width="8.83203125" style="20"/>
  </cols>
  <sheetData>
    <row r="1" spans="1:12" ht="38">
      <c r="A1" s="174" t="s">
        <v>59</v>
      </c>
      <c r="B1" s="178"/>
      <c r="C1" s="178"/>
      <c r="D1" s="178"/>
      <c r="E1" s="178"/>
      <c r="F1" s="178"/>
      <c r="G1" s="178"/>
      <c r="H1" s="178"/>
      <c r="I1" s="178"/>
      <c r="J1" s="178"/>
    </row>
    <row r="3" spans="1:12" ht="16">
      <c r="A3" s="21" t="s">
        <v>166</v>
      </c>
      <c r="B3" s="21"/>
      <c r="C3" s="21"/>
      <c r="H3" s="39" t="s">
        <v>0</v>
      </c>
      <c r="I3" s="140">
        <v>46204</v>
      </c>
    </row>
    <row r="4" spans="1:12">
      <c r="A4" s="36" t="s">
        <v>167</v>
      </c>
    </row>
    <row r="5" spans="1:12">
      <c r="I5" s="23"/>
    </row>
    <row r="10" spans="1:12">
      <c r="A10" s="20" t="s">
        <v>1</v>
      </c>
      <c r="B10" s="20" t="s">
        <v>26</v>
      </c>
    </row>
    <row r="11" spans="1:12">
      <c r="B11" s="20" t="s">
        <v>27</v>
      </c>
    </row>
    <row r="12" spans="1:12">
      <c r="B12" s="20" t="s">
        <v>28</v>
      </c>
    </row>
    <row r="13" spans="1:12">
      <c r="B13" s="20" t="s">
        <v>29</v>
      </c>
      <c r="E13" s="40"/>
    </row>
    <row r="14" spans="1:12">
      <c r="B14" s="20" t="s">
        <v>30</v>
      </c>
      <c r="E14" s="40"/>
    </row>
    <row r="16" spans="1:12" ht="13">
      <c r="L16" s="24"/>
    </row>
    <row r="17" spans="1:12" ht="13">
      <c r="L17" s="24"/>
    </row>
    <row r="18" spans="1:12" ht="14.5" customHeight="1">
      <c r="A18" s="183" t="s">
        <v>133</v>
      </c>
      <c r="B18" s="183"/>
      <c r="C18" s="183"/>
      <c r="D18" s="183"/>
      <c r="E18" s="183"/>
      <c r="F18" s="183"/>
      <c r="G18" s="183"/>
      <c r="H18" s="183"/>
      <c r="I18" s="183"/>
      <c r="J18" s="183"/>
    </row>
    <row r="19" spans="1:12" ht="11" customHeight="1">
      <c r="A19" s="184"/>
      <c r="B19" s="184"/>
      <c r="C19" s="184"/>
      <c r="D19" s="184"/>
      <c r="E19" s="184"/>
      <c r="F19" s="184"/>
      <c r="G19" s="184"/>
      <c r="H19" s="184"/>
      <c r="I19" s="184"/>
      <c r="J19" s="184"/>
    </row>
    <row r="20" spans="1:12" ht="14.5" customHeight="1">
      <c r="A20" s="25" t="s">
        <v>2</v>
      </c>
      <c r="B20" s="26"/>
      <c r="C20" s="26"/>
      <c r="D20" s="26"/>
      <c r="E20" s="26"/>
      <c r="F20" s="26"/>
      <c r="G20" s="26"/>
      <c r="H20" s="26"/>
      <c r="I20" s="26"/>
      <c r="J20" s="26"/>
    </row>
    <row r="21" spans="1:12" ht="14.5" customHeight="1">
      <c r="A21" s="27" t="s">
        <v>135</v>
      </c>
      <c r="B21" s="26"/>
      <c r="C21" s="115" t="str">
        <f>'2-Work Summary'!C2</f>
        <v>BWT-1608-JBCON</v>
      </c>
      <c r="D21" s="41"/>
      <c r="E21" s="26"/>
      <c r="F21" s="26"/>
      <c r="H21" s="22" t="s">
        <v>134</v>
      </c>
      <c r="I21" s="112">
        <f>'2-Work Summary'!C5</f>
        <v>203434</v>
      </c>
      <c r="J21" s="42"/>
    </row>
    <row r="22" spans="1:12" ht="14.5" customHeight="1">
      <c r="A22" s="27" t="s">
        <v>3</v>
      </c>
      <c r="B22" s="26"/>
      <c r="C22" s="185" t="str">
        <f>'2-Work Summary'!C4</f>
        <v>CTI 826 20268804134</v>
      </c>
      <c r="D22" s="185"/>
      <c r="E22" s="26"/>
      <c r="F22" s="26"/>
      <c r="G22" s="179" t="s">
        <v>54</v>
      </c>
      <c r="H22" s="179"/>
      <c r="I22" s="116">
        <v>44495</v>
      </c>
      <c r="J22" s="42"/>
    </row>
    <row r="23" spans="1:12" ht="14.5" customHeight="1">
      <c r="A23" s="27" t="s">
        <v>4</v>
      </c>
      <c r="B23" s="26"/>
      <c r="C23" s="186" t="str">
        <f>'2-Work Summary'!C8</f>
        <v>BACAQ0002</v>
      </c>
      <c r="D23" s="186"/>
      <c r="E23" s="26"/>
      <c r="F23" s="26"/>
      <c r="G23" s="179" t="s">
        <v>55</v>
      </c>
      <c r="H23" s="179"/>
      <c r="I23" s="141" t="s">
        <v>183</v>
      </c>
      <c r="J23" s="42"/>
    </row>
    <row r="24" spans="1:12" ht="12" thickBot="1">
      <c r="A24" s="28"/>
      <c r="B24" s="29"/>
      <c r="C24" s="29"/>
      <c r="D24" s="29"/>
      <c r="E24" s="29"/>
      <c r="F24" s="29"/>
      <c r="G24" s="29"/>
      <c r="H24" s="29"/>
      <c r="I24" s="29"/>
      <c r="J24" s="29"/>
    </row>
    <row r="25" spans="1:12">
      <c r="A25" s="27"/>
    </row>
    <row r="26" spans="1:12">
      <c r="A26" s="27" t="s">
        <v>5</v>
      </c>
    </row>
    <row r="27" spans="1:12">
      <c r="A27" s="30" t="s">
        <v>6</v>
      </c>
      <c r="D27" s="142">
        <v>46143</v>
      </c>
      <c r="E27" s="26" t="s">
        <v>7</v>
      </c>
      <c r="F27" s="142">
        <v>46173</v>
      </c>
    </row>
    <row r="28" spans="1:12">
      <c r="A28" s="27"/>
      <c r="E28" s="26"/>
    </row>
    <row r="29" spans="1:12">
      <c r="A29" s="27"/>
      <c r="B29" s="187" t="s">
        <v>8</v>
      </c>
      <c r="C29" s="187"/>
      <c r="E29" s="31">
        <f>E47</f>
        <v>11808.949999999999</v>
      </c>
    </row>
    <row r="30" spans="1:12">
      <c r="A30" s="27"/>
      <c r="E30" s="26"/>
    </row>
    <row r="31" spans="1:12">
      <c r="A31" s="27"/>
      <c r="E31" s="26"/>
    </row>
    <row r="32" spans="1:12">
      <c r="D32" s="20" t="s">
        <v>9</v>
      </c>
      <c r="E32" s="20" t="s">
        <v>10</v>
      </c>
      <c r="F32" s="20" t="s">
        <v>9</v>
      </c>
      <c r="G32" s="20" t="s">
        <v>31</v>
      </c>
      <c r="H32" s="20" t="s">
        <v>11</v>
      </c>
      <c r="I32" s="20" t="s">
        <v>12</v>
      </c>
      <c r="J32" s="20" t="s">
        <v>13</v>
      </c>
    </row>
    <row r="33" spans="1:10">
      <c r="A33" s="20" t="s">
        <v>14</v>
      </c>
      <c r="D33" s="20" t="s">
        <v>15</v>
      </c>
      <c r="E33" s="20" t="s">
        <v>16</v>
      </c>
      <c r="F33" s="20" t="s">
        <v>17</v>
      </c>
      <c r="G33" s="20" t="s">
        <v>18</v>
      </c>
      <c r="H33" s="20" t="s">
        <v>19</v>
      </c>
      <c r="I33" s="20" t="s">
        <v>20</v>
      </c>
      <c r="J33" s="20" t="s">
        <v>21</v>
      </c>
    </row>
    <row r="34" spans="1:10" ht="8.75" customHeight="1" thickBot="1">
      <c r="A34" s="29"/>
      <c r="B34" s="29"/>
      <c r="C34" s="29"/>
      <c r="D34" s="29"/>
      <c r="E34" s="29"/>
      <c r="F34" s="29"/>
      <c r="G34" s="29"/>
      <c r="H34" s="29"/>
      <c r="I34" s="29"/>
      <c r="J34" s="29"/>
    </row>
    <row r="36" spans="1:10" hidden="1">
      <c r="A36" s="20" t="s">
        <v>158</v>
      </c>
      <c r="D36" s="32">
        <v>0</v>
      </c>
      <c r="E36" s="32">
        <v>0</v>
      </c>
      <c r="F36" s="32">
        <v>0</v>
      </c>
      <c r="G36" s="32">
        <v>0</v>
      </c>
      <c r="H36" s="32">
        <f>G36-F36</f>
        <v>0</v>
      </c>
      <c r="I36" s="43" t="e">
        <f>E36/G36</f>
        <v>#DIV/0!</v>
      </c>
      <c r="J36" s="43" t="e">
        <f t="shared" ref="J36" si="0">F36/G36</f>
        <v>#DIV/0!</v>
      </c>
    </row>
    <row r="37" spans="1:10">
      <c r="A37" s="20" t="s">
        <v>159</v>
      </c>
      <c r="D37" s="134">
        <f>'1-Invoice Cover Sheet'!B26</f>
        <v>8206.69</v>
      </c>
      <c r="E37" s="134">
        <f>'1-Invoice Cover Sheet'!C26</f>
        <v>11808.949999999999</v>
      </c>
      <c r="F37" s="134">
        <f>'1-Invoice Cover Sheet'!D26</f>
        <v>20015.64</v>
      </c>
      <c r="G37" s="134">
        <f>'1-Invoice Cover Sheet'!E26</f>
        <v>47490</v>
      </c>
      <c r="H37" s="134">
        <f t="shared" ref="H37:H42" si="1">G37-F37</f>
        <v>27474.36</v>
      </c>
      <c r="I37" s="135">
        <f t="shared" ref="I37:I42" si="2">E37/G37</f>
        <v>0.24866182354179825</v>
      </c>
      <c r="J37" s="135">
        <f t="shared" ref="J37:J42" si="3">F37/G37</f>
        <v>0.42147062539481994</v>
      </c>
    </row>
    <row r="38" spans="1:10" hidden="1">
      <c r="A38" s="20" t="s">
        <v>160</v>
      </c>
      <c r="D38" s="32">
        <v>0</v>
      </c>
      <c r="E38" s="32">
        <v>0</v>
      </c>
      <c r="F38" s="32">
        <v>0</v>
      </c>
      <c r="G38" s="32">
        <v>0</v>
      </c>
      <c r="H38" s="32">
        <f t="shared" si="1"/>
        <v>0</v>
      </c>
      <c r="I38" s="43" t="e">
        <f t="shared" si="2"/>
        <v>#DIV/0!</v>
      </c>
      <c r="J38" s="43" t="e">
        <f t="shared" si="3"/>
        <v>#DIV/0!</v>
      </c>
    </row>
    <row r="39" spans="1:10" hidden="1">
      <c r="A39" s="20" t="s">
        <v>161</v>
      </c>
      <c r="D39" s="32">
        <v>0</v>
      </c>
      <c r="E39" s="32">
        <v>0</v>
      </c>
      <c r="F39" s="32">
        <v>0</v>
      </c>
      <c r="G39" s="32">
        <v>0</v>
      </c>
      <c r="H39" s="32">
        <f t="shared" si="1"/>
        <v>0</v>
      </c>
      <c r="I39" s="43" t="e">
        <f t="shared" si="2"/>
        <v>#DIV/0!</v>
      </c>
      <c r="J39" s="43" t="e">
        <f t="shared" si="3"/>
        <v>#DIV/0!</v>
      </c>
    </row>
    <row r="40" spans="1:10" hidden="1">
      <c r="A40" s="20" t="s">
        <v>162</v>
      </c>
      <c r="D40" s="32">
        <v>0</v>
      </c>
      <c r="E40" s="32">
        <v>0</v>
      </c>
      <c r="F40" s="32">
        <v>0</v>
      </c>
      <c r="G40" s="32">
        <v>0</v>
      </c>
      <c r="H40" s="32">
        <f t="shared" si="1"/>
        <v>0</v>
      </c>
      <c r="I40" s="43" t="e">
        <f t="shared" si="2"/>
        <v>#DIV/0!</v>
      </c>
      <c r="J40" s="43" t="e">
        <f t="shared" si="3"/>
        <v>#DIV/0!</v>
      </c>
    </row>
    <row r="41" spans="1:10" hidden="1">
      <c r="A41" s="20" t="s">
        <v>163</v>
      </c>
      <c r="D41" s="32">
        <v>0</v>
      </c>
      <c r="E41" s="32">
        <v>0</v>
      </c>
      <c r="F41" s="32">
        <v>0</v>
      </c>
      <c r="G41" s="32">
        <v>0</v>
      </c>
      <c r="H41" s="32">
        <f t="shared" si="1"/>
        <v>0</v>
      </c>
      <c r="I41" s="43" t="e">
        <f t="shared" si="2"/>
        <v>#DIV/0!</v>
      </c>
      <c r="J41" s="43" t="e">
        <f t="shared" si="3"/>
        <v>#DIV/0!</v>
      </c>
    </row>
    <row r="42" spans="1:10" ht="12" hidden="1" thickBot="1">
      <c r="A42" s="20" t="s">
        <v>164</v>
      </c>
      <c r="D42" s="33">
        <v>0</v>
      </c>
      <c r="E42" s="33">
        <v>0</v>
      </c>
      <c r="F42" s="33">
        <f t="shared" ref="F42" si="4">D42+E42</f>
        <v>0</v>
      </c>
      <c r="G42" s="33">
        <v>0</v>
      </c>
      <c r="H42" s="33">
        <f t="shared" si="1"/>
        <v>0</v>
      </c>
      <c r="I42" s="44" t="e">
        <f t="shared" si="2"/>
        <v>#DIV/0!</v>
      </c>
      <c r="J42" s="44" t="e">
        <f t="shared" si="3"/>
        <v>#DIV/0!</v>
      </c>
    </row>
    <row r="43" spans="1:10">
      <c r="C43" s="22" t="s">
        <v>22</v>
      </c>
      <c r="D43" s="32">
        <f>SUM(D36:D42)</f>
        <v>8206.69</v>
      </c>
      <c r="E43" s="32">
        <f>SUM(E36:E42)</f>
        <v>11808.949999999999</v>
      </c>
      <c r="F43" s="32">
        <f>SUM(F36:F42)</f>
        <v>20015.64</v>
      </c>
      <c r="G43" s="32">
        <f>SUM(G36:G42)</f>
        <v>47490</v>
      </c>
      <c r="H43" s="32">
        <f>SUM(H36:H42)</f>
        <v>27474.36</v>
      </c>
      <c r="I43" s="45">
        <f t="shared" ref="I43" si="5">E43/G43</f>
        <v>0.24866182354179825</v>
      </c>
      <c r="J43" s="45">
        <f t="shared" ref="J43" si="6">F43/G43</f>
        <v>0.42147062539481994</v>
      </c>
    </row>
    <row r="44" spans="1:10">
      <c r="D44" s="32"/>
      <c r="E44" s="32"/>
      <c r="F44" s="32"/>
      <c r="G44" s="32"/>
      <c r="H44" s="35"/>
      <c r="I44" s="34"/>
      <c r="J44" s="34"/>
    </row>
    <row r="45" spans="1:10">
      <c r="D45" s="32"/>
      <c r="E45" s="32"/>
      <c r="F45" s="32"/>
      <c r="G45" s="32"/>
      <c r="H45" s="35"/>
      <c r="I45" s="34"/>
      <c r="J45" s="34"/>
    </row>
    <row r="47" spans="1:10" s="36" customFormat="1">
      <c r="A47" s="180" t="s">
        <v>57</v>
      </c>
      <c r="B47" s="181"/>
      <c r="C47" s="182"/>
      <c r="D47" s="37">
        <f t="shared" ref="D47:J47" si="7">D43</f>
        <v>8206.69</v>
      </c>
      <c r="E47" s="37">
        <f t="shared" si="7"/>
        <v>11808.949999999999</v>
      </c>
      <c r="F47" s="37">
        <f t="shared" si="7"/>
        <v>20015.64</v>
      </c>
      <c r="G47" s="37">
        <f t="shared" si="7"/>
        <v>47490</v>
      </c>
      <c r="H47" s="37">
        <f t="shared" si="7"/>
        <v>27474.36</v>
      </c>
      <c r="I47" s="38">
        <f t="shared" si="7"/>
        <v>0.24866182354179825</v>
      </c>
      <c r="J47" s="38">
        <f t="shared" si="7"/>
        <v>0.42147062539481994</v>
      </c>
    </row>
    <row r="50" spans="1:10">
      <c r="A50" s="20" t="s">
        <v>23</v>
      </c>
    </row>
    <row r="51" spans="1:10">
      <c r="A51" s="20" t="s">
        <v>24</v>
      </c>
    </row>
    <row r="55" spans="1:10" ht="12" thickBot="1">
      <c r="D55" s="29"/>
      <c r="E55" s="29"/>
      <c r="F55" s="29"/>
      <c r="I55" s="29"/>
      <c r="J55" s="29"/>
    </row>
    <row r="56" spans="1:10">
      <c r="D56" s="20" t="s">
        <v>32</v>
      </c>
      <c r="I56" s="20" t="s">
        <v>25</v>
      </c>
    </row>
    <row r="59" spans="1:10" ht="12" thickBot="1">
      <c r="D59" s="29"/>
      <c r="E59" s="29"/>
      <c r="F59" s="29"/>
      <c r="I59" s="29"/>
      <c r="J59" s="29"/>
    </row>
    <row r="60" spans="1:10">
      <c r="D60" s="20" t="s">
        <v>33</v>
      </c>
      <c r="I60" s="20" t="s">
        <v>25</v>
      </c>
    </row>
  </sheetData>
  <mergeCells count="9">
    <mergeCell ref="A1:J1"/>
    <mergeCell ref="G23:H23"/>
    <mergeCell ref="G22:H22"/>
    <mergeCell ref="A47:C47"/>
    <mergeCell ref="A18:J18"/>
    <mergeCell ref="A19:J19"/>
    <mergeCell ref="C22:D22"/>
    <mergeCell ref="C23:D23"/>
    <mergeCell ref="B29:C29"/>
  </mergeCells>
  <printOptions horizontalCentered="1"/>
  <pageMargins left="0.2" right="0.2" top="0.25" bottom="0.25" header="0" footer="0"/>
  <pageSetup scale="87" orientation="portrait" r:id="rId1"/>
  <colBreaks count="1" manualBreakCount="1">
    <brk id="10"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03E5-EACC-4A25-A486-EC3FED6691AB}">
  <sheetPr>
    <pageSetUpPr fitToPage="1"/>
  </sheetPr>
  <dimension ref="A1:E34"/>
  <sheetViews>
    <sheetView view="pageBreakPreview" topLeftCell="A6" zoomScale="150" zoomScaleNormal="100" zoomScaleSheetLayoutView="115" workbookViewId="0">
      <selection activeCell="D24" activeCellId="1" sqref="D19 D24"/>
    </sheetView>
  </sheetViews>
  <sheetFormatPr baseColWidth="10" defaultColWidth="8.83203125" defaultRowHeight="15"/>
  <cols>
    <col min="1" max="1" width="21.1640625" customWidth="1"/>
    <col min="2" max="2" width="40.5" customWidth="1"/>
    <col min="3" max="3" width="12.5" customWidth="1"/>
    <col min="4" max="4" width="20.1640625" customWidth="1"/>
    <col min="5" max="5" width="19.6640625" customWidth="1"/>
  </cols>
  <sheetData>
    <row r="1" spans="1:5" ht="38">
      <c r="A1" s="174" t="s">
        <v>40</v>
      </c>
      <c r="B1" s="174"/>
      <c r="C1" s="174"/>
      <c r="D1" s="174"/>
      <c r="E1" s="174"/>
    </row>
    <row r="2" spans="1:5">
      <c r="A2" s="1" t="s">
        <v>34</v>
      </c>
      <c r="B2" s="7" t="str">
        <f>'2-Work Summary'!C2</f>
        <v>BWT-1608-JBCON</v>
      </c>
      <c r="C2" s="3"/>
      <c r="D2" s="3"/>
      <c r="E2" s="3"/>
    </row>
    <row r="3" spans="1:5">
      <c r="A3" s="5" t="s">
        <v>35</v>
      </c>
      <c r="B3" s="7" t="str">
        <f>'2-Work Summary'!C3</f>
        <v>826251608JBCON</v>
      </c>
      <c r="C3" s="6"/>
      <c r="D3" s="2"/>
      <c r="E3" s="6"/>
    </row>
    <row r="4" spans="1:5">
      <c r="A4" s="5" t="s">
        <v>36</v>
      </c>
      <c r="B4" s="7" t="str">
        <f>'2-Work Summary'!C4</f>
        <v>CTI 826 20268804134</v>
      </c>
      <c r="C4" s="6"/>
      <c r="D4" s="2"/>
      <c r="E4" s="6"/>
    </row>
    <row r="5" spans="1:5">
      <c r="A5" s="5" t="s">
        <v>128</v>
      </c>
      <c r="B5" s="7">
        <f>'2-Work Summary'!C5</f>
        <v>203434</v>
      </c>
      <c r="C5" s="6"/>
      <c r="D5" s="2"/>
      <c r="E5" s="6"/>
    </row>
    <row r="6" spans="1:5">
      <c r="A6" s="5" t="s">
        <v>37</v>
      </c>
      <c r="B6" s="7" t="str">
        <f>'2-Work Summary'!C6</f>
        <v>Master Planning for Jamaica Bay Wastewater Resource Recovery Facility Consolidation</v>
      </c>
      <c r="C6" s="6"/>
      <c r="D6" s="2"/>
      <c r="E6" s="6"/>
    </row>
    <row r="7" spans="1:5">
      <c r="A7" s="5" t="s">
        <v>39</v>
      </c>
      <c r="B7" s="7" t="str">
        <f>'2-Work Summary'!C7</f>
        <v>Aquatech Engineering P.C.</v>
      </c>
      <c r="C7" s="19"/>
      <c r="D7" s="19"/>
      <c r="E7" s="19"/>
    </row>
    <row r="8" spans="1:5">
      <c r="A8" s="5" t="s">
        <v>4</v>
      </c>
      <c r="B8" s="8" t="str">
        <f>'2-Work Summary'!C8</f>
        <v>BACAQ0002</v>
      </c>
      <c r="C8" s="6"/>
      <c r="D8" s="2"/>
      <c r="E8" s="6"/>
    </row>
    <row r="9" spans="1:5">
      <c r="A9" s="5" t="s">
        <v>38</v>
      </c>
      <c r="B9" s="2" t="str">
        <f>'2-Work Summary'!C9</f>
        <v>06/01/2026-06/30/2026</v>
      </c>
      <c r="C9" s="2"/>
      <c r="D9" s="2"/>
      <c r="E9" s="2"/>
    </row>
    <row r="10" spans="1:5">
      <c r="A10" s="4"/>
      <c r="B10" s="4"/>
      <c r="C10" s="9"/>
      <c r="D10" s="4"/>
      <c r="E10" s="9"/>
    </row>
    <row r="11" spans="1:5">
      <c r="A11" s="199" t="s">
        <v>40</v>
      </c>
      <c r="B11" s="200"/>
      <c r="C11" s="200"/>
      <c r="D11" s="200"/>
      <c r="E11" s="200"/>
    </row>
    <row r="12" spans="1:5">
      <c r="A12" s="10" t="s">
        <v>41</v>
      </c>
      <c r="B12" s="11" t="s">
        <v>42</v>
      </c>
      <c r="C12" s="12" t="s">
        <v>43</v>
      </c>
      <c r="D12" s="11" t="s">
        <v>44</v>
      </c>
      <c r="E12" s="13" t="s">
        <v>45</v>
      </c>
    </row>
    <row r="13" spans="1:5">
      <c r="A13" s="14"/>
      <c r="B13" s="15"/>
      <c r="C13" s="16"/>
      <c r="D13" s="136"/>
      <c r="E13" s="17"/>
    </row>
    <row r="14" spans="1:5" ht="15.75" customHeight="1">
      <c r="A14" s="14" t="s">
        <v>173</v>
      </c>
      <c r="B14" s="15" t="s">
        <v>174</v>
      </c>
      <c r="C14" s="16">
        <v>52.26</v>
      </c>
      <c r="D14" s="136">
        <v>0</v>
      </c>
      <c r="E14" s="17">
        <f t="shared" ref="E14:E18" si="0">ROUND(PRODUCT(C14,D14),2)</f>
        <v>0</v>
      </c>
    </row>
    <row r="15" spans="1:5">
      <c r="A15" s="14" t="s">
        <v>175</v>
      </c>
      <c r="B15" s="15" t="s">
        <v>176</v>
      </c>
      <c r="C15" s="16">
        <v>51.64</v>
      </c>
      <c r="D15" s="136">
        <v>0</v>
      </c>
      <c r="E15" s="17">
        <f t="shared" si="0"/>
        <v>0</v>
      </c>
    </row>
    <row r="16" spans="1:5">
      <c r="A16" s="14" t="s">
        <v>177</v>
      </c>
      <c r="B16" s="15" t="s">
        <v>178</v>
      </c>
      <c r="C16" s="16">
        <v>61.5</v>
      </c>
      <c r="D16" s="136">
        <v>38</v>
      </c>
      <c r="E16" s="17">
        <f t="shared" si="0"/>
        <v>2337</v>
      </c>
    </row>
    <row r="17" spans="1:5">
      <c r="A17" s="14" t="s">
        <v>179</v>
      </c>
      <c r="B17" s="15" t="s">
        <v>176</v>
      </c>
      <c r="C17" s="16">
        <v>90</v>
      </c>
      <c r="D17" s="136">
        <v>0</v>
      </c>
      <c r="E17" s="17">
        <f t="shared" si="0"/>
        <v>0</v>
      </c>
    </row>
    <row r="18" spans="1:5">
      <c r="A18" s="14" t="s">
        <v>180</v>
      </c>
      <c r="B18" s="15" t="s">
        <v>181</v>
      </c>
      <c r="C18" s="16">
        <v>75</v>
      </c>
      <c r="D18" s="136">
        <v>18</v>
      </c>
      <c r="E18" s="17">
        <f t="shared" si="0"/>
        <v>1350</v>
      </c>
    </row>
    <row r="19" spans="1:5">
      <c r="A19" s="189" t="s">
        <v>46</v>
      </c>
      <c r="B19" s="189"/>
      <c r="C19" s="190"/>
      <c r="D19" s="137">
        <f>SUM(D13:D18)</f>
        <v>56</v>
      </c>
      <c r="E19" s="17">
        <f>SUM(E13:E18)</f>
        <v>3687</v>
      </c>
    </row>
    <row r="20" spans="1:5">
      <c r="A20" s="195" t="s">
        <v>47</v>
      </c>
      <c r="B20" s="195"/>
      <c r="C20" s="195"/>
      <c r="D20" s="196"/>
      <c r="E20" s="188">
        <v>2.14</v>
      </c>
    </row>
    <row r="21" spans="1:5" ht="8.25" customHeight="1">
      <c r="A21" s="197"/>
      <c r="B21" s="197"/>
      <c r="C21" s="197"/>
      <c r="D21" s="198"/>
      <c r="E21" s="188"/>
    </row>
    <row r="22" spans="1:5">
      <c r="A22" s="189" t="s">
        <v>48</v>
      </c>
      <c r="B22" s="189"/>
      <c r="C22" s="189"/>
      <c r="D22" s="190"/>
      <c r="E22" s="18">
        <f>ROUND(PRODUCT(E19:E21),2)</f>
        <v>7890.18</v>
      </c>
    </row>
    <row r="23" spans="1:5">
      <c r="A23" s="191" t="s">
        <v>139</v>
      </c>
      <c r="B23" s="191"/>
      <c r="C23" s="191"/>
      <c r="D23" s="192"/>
      <c r="E23" s="143">
        <f>E22*0.1</f>
        <v>789.01800000000003</v>
      </c>
    </row>
    <row r="24" spans="1:5">
      <c r="A24" s="14" t="s">
        <v>171</v>
      </c>
      <c r="B24" s="15" t="s">
        <v>172</v>
      </c>
      <c r="C24" s="16">
        <v>97.5</v>
      </c>
      <c r="D24" s="136">
        <v>15</v>
      </c>
      <c r="E24" s="17">
        <f>ROUND(PRODUCT(C24,D24),2)</f>
        <v>1462.5</v>
      </c>
    </row>
    <row r="25" spans="1:5">
      <c r="A25" s="195" t="s">
        <v>47</v>
      </c>
      <c r="B25" s="195"/>
      <c r="C25" s="195"/>
      <c r="D25" s="196"/>
      <c r="E25" s="188">
        <v>2.14</v>
      </c>
    </row>
    <row r="26" spans="1:5" ht="8.25" customHeight="1">
      <c r="A26" s="197"/>
      <c r="B26" s="197"/>
      <c r="C26" s="197"/>
      <c r="D26" s="198"/>
      <c r="E26" s="188"/>
    </row>
    <row r="27" spans="1:5" ht="17" customHeight="1">
      <c r="A27" s="189" t="s">
        <v>48</v>
      </c>
      <c r="B27" s="189"/>
      <c r="C27" s="189"/>
      <c r="D27" s="190"/>
      <c r="E27" s="18">
        <f>ROUND(PRODUCT(E24:E26),2)</f>
        <v>3129.75</v>
      </c>
    </row>
    <row r="28" spans="1:5">
      <c r="A28" s="191" t="s">
        <v>49</v>
      </c>
      <c r="B28" s="191"/>
      <c r="C28" s="191"/>
      <c r="D28" s="192"/>
      <c r="E28" s="18">
        <f>ROUND(SUM(E22:E23,E27),2)</f>
        <v>11808.95</v>
      </c>
    </row>
    <row r="29" spans="1:5">
      <c r="A29" s="191" t="s">
        <v>50</v>
      </c>
      <c r="B29" s="191"/>
      <c r="C29" s="191"/>
      <c r="D29" s="192"/>
      <c r="E29" s="18">
        <v>0</v>
      </c>
    </row>
    <row r="30" spans="1:5">
      <c r="A30" s="193" t="s">
        <v>51</v>
      </c>
      <c r="B30" s="193"/>
      <c r="C30" s="193"/>
      <c r="D30" s="194"/>
      <c r="E30" s="18">
        <v>0</v>
      </c>
    </row>
    <row r="31" spans="1:5">
      <c r="A31" s="189" t="s">
        <v>52</v>
      </c>
      <c r="B31" s="189"/>
      <c r="C31" s="189"/>
      <c r="D31" s="190"/>
      <c r="E31" s="18">
        <f>ROUND(SUM(E28:E30),2)</f>
        <v>11808.95</v>
      </c>
    </row>
    <row r="32" spans="1:5">
      <c r="A32" s="4"/>
      <c r="B32" s="4"/>
      <c r="C32" s="9"/>
      <c r="D32" s="230"/>
      <c r="E32" s="231">
        <f>SUM('1-Invoice Cover Sheet'!E27-'1-Invoice Cover Sheet'!B27)</f>
        <v>1168.3099999999995</v>
      </c>
    </row>
    <row r="33" spans="4:5">
      <c r="D33" s="232"/>
      <c r="E33" s="233">
        <f>SUM(E31-E32)</f>
        <v>10640.640000000001</v>
      </c>
    </row>
    <row r="34" spans="4:5">
      <c r="D34" s="233">
        <f>SUM(E33-E34)</f>
        <v>9375</v>
      </c>
      <c r="E34" s="233">
        <f>SUM(E33-9375)</f>
        <v>1265.6400000000012</v>
      </c>
    </row>
  </sheetData>
  <mergeCells count="14">
    <mergeCell ref="A20:D21"/>
    <mergeCell ref="E20:E21"/>
    <mergeCell ref="A1:E1"/>
    <mergeCell ref="A11:E11"/>
    <mergeCell ref="A19:C19"/>
    <mergeCell ref="E25:E26"/>
    <mergeCell ref="A27:D27"/>
    <mergeCell ref="A31:D31"/>
    <mergeCell ref="A22:D22"/>
    <mergeCell ref="A23:D23"/>
    <mergeCell ref="A28:D28"/>
    <mergeCell ref="A29:D29"/>
    <mergeCell ref="A30:D30"/>
    <mergeCell ref="A25:D26"/>
  </mergeCells>
  <dataValidations count="1">
    <dataValidation allowBlank="1" showErrorMessage="1" promptTitle="Subconsultant Budgeting" prompt="Add Subconsultant Names on this row and costs by phase/task below.  To add additional columns, use Add Subconsultant macro._x000a__x000a_The first subconsultant's name must be entered before additional subconsultant columns can be inserted." sqref="B9" xr:uid="{698E8774-A175-4813-9C72-1D03FDDB8FAF}"/>
  </dataValidations>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1B0B-9046-4DB8-AFBE-06C4A2E180C3}">
  <sheetPr>
    <pageSetUpPr fitToPage="1"/>
  </sheetPr>
  <dimension ref="A1:M30"/>
  <sheetViews>
    <sheetView view="pageBreakPreview" zoomScale="85" zoomScaleNormal="70" zoomScaleSheetLayoutView="85" workbookViewId="0">
      <selection activeCell="M11" sqref="M11"/>
    </sheetView>
  </sheetViews>
  <sheetFormatPr baseColWidth="10" defaultColWidth="8.83203125" defaultRowHeight="15"/>
  <cols>
    <col min="1" max="1" width="18.1640625" customWidth="1"/>
    <col min="2" max="2" width="39.5" customWidth="1"/>
    <col min="3" max="3" width="37.5" customWidth="1"/>
    <col min="4" max="4" width="38.5" customWidth="1"/>
    <col min="5" max="5" width="15" customWidth="1"/>
    <col min="6" max="7" width="13.5" customWidth="1"/>
    <col min="8" max="8" width="11.5" customWidth="1"/>
    <col min="9" max="9" width="12.1640625" customWidth="1"/>
    <col min="10" max="10" width="12.5" customWidth="1"/>
    <col min="11" max="11" width="11.5" customWidth="1"/>
  </cols>
  <sheetData>
    <row r="1" spans="1:13">
      <c r="A1" s="72"/>
      <c r="B1" s="72"/>
      <c r="C1" s="72"/>
      <c r="D1" s="72"/>
      <c r="E1" s="72"/>
      <c r="F1" s="72"/>
      <c r="G1" s="72"/>
      <c r="H1" s="72"/>
      <c r="I1" s="72"/>
      <c r="J1" s="72"/>
      <c r="K1" s="72"/>
    </row>
    <row r="2" spans="1:13" ht="20">
      <c r="A2" s="72"/>
      <c r="B2" s="72"/>
      <c r="C2" s="219" t="s">
        <v>27</v>
      </c>
      <c r="D2" s="219"/>
      <c r="E2" s="219"/>
      <c r="F2" s="219"/>
      <c r="G2" s="73"/>
      <c r="H2" s="72"/>
      <c r="I2" s="72"/>
      <c r="J2" s="72"/>
      <c r="K2" s="72"/>
    </row>
    <row r="3" spans="1:13" ht="33">
      <c r="A3" s="72"/>
      <c r="B3" s="72"/>
      <c r="C3" s="220" t="s">
        <v>98</v>
      </c>
      <c r="D3" s="220"/>
      <c r="E3" s="220"/>
      <c r="F3" s="220"/>
      <c r="J3" s="98"/>
    </row>
    <row r="4" spans="1:13" ht="19" customHeight="1">
      <c r="A4" s="97" t="s">
        <v>113</v>
      </c>
      <c r="B4" s="224" t="str">
        <f>'2-Work Summary'!C4</f>
        <v>CTI 826 20268804134</v>
      </c>
      <c r="C4" s="225"/>
      <c r="D4" s="84"/>
      <c r="E4" s="84"/>
      <c r="F4" s="84"/>
      <c r="G4" s="73"/>
      <c r="H4" s="72"/>
      <c r="I4" s="74"/>
      <c r="J4" s="94"/>
      <c r="K4" s="94"/>
    </row>
    <row r="5" spans="1:13" ht="19" customHeight="1">
      <c r="A5" s="97" t="s">
        <v>39</v>
      </c>
      <c r="B5" s="222" t="s">
        <v>136</v>
      </c>
      <c r="C5" s="222"/>
      <c r="D5" s="72"/>
      <c r="E5" s="72"/>
      <c r="F5" s="72"/>
      <c r="G5" s="72"/>
      <c r="H5" s="72"/>
      <c r="I5" s="72"/>
      <c r="J5" s="72"/>
      <c r="K5" s="72"/>
    </row>
    <row r="6" spans="1:13" ht="19" customHeight="1">
      <c r="A6" s="97" t="s">
        <v>112</v>
      </c>
      <c r="B6" s="221"/>
      <c r="C6" s="221"/>
      <c r="D6" s="72"/>
      <c r="E6" s="72"/>
      <c r="F6" s="72"/>
      <c r="G6" s="72"/>
      <c r="H6" s="72"/>
      <c r="I6" s="72"/>
      <c r="J6" s="72"/>
      <c r="K6" s="72"/>
    </row>
    <row r="7" spans="1:13">
      <c r="A7" s="75"/>
      <c r="B7" s="75"/>
      <c r="C7" s="75"/>
      <c r="D7" s="75"/>
      <c r="E7" s="75"/>
      <c r="F7" s="75"/>
      <c r="G7" s="75"/>
      <c r="H7" s="75"/>
      <c r="I7" s="75"/>
      <c r="J7" s="75"/>
      <c r="K7" s="75"/>
    </row>
    <row r="8" spans="1:13" ht="16.5" customHeight="1">
      <c r="A8" s="209" t="s">
        <v>114</v>
      </c>
      <c r="B8" s="209" t="s">
        <v>99</v>
      </c>
      <c r="C8" s="209" t="s">
        <v>100</v>
      </c>
      <c r="D8" s="209" t="s">
        <v>101</v>
      </c>
      <c r="E8" s="212" t="s">
        <v>102</v>
      </c>
      <c r="F8" s="213"/>
      <c r="G8" s="216" t="s">
        <v>115</v>
      </c>
      <c r="H8" s="216" t="s">
        <v>103</v>
      </c>
      <c r="I8" s="216" t="s">
        <v>104</v>
      </c>
      <c r="J8" s="216" t="s">
        <v>105</v>
      </c>
      <c r="K8" s="209" t="s">
        <v>106</v>
      </c>
    </row>
    <row r="9" spans="1:13" ht="15" customHeight="1">
      <c r="A9" s="210"/>
      <c r="B9" s="210"/>
      <c r="C9" s="210"/>
      <c r="D9" s="210"/>
      <c r="E9" s="210" t="s">
        <v>107</v>
      </c>
      <c r="F9" s="210" t="s">
        <v>108</v>
      </c>
      <c r="G9" s="217"/>
      <c r="H9" s="217"/>
      <c r="I9" s="217"/>
      <c r="J9" s="217"/>
      <c r="K9" s="210"/>
    </row>
    <row r="10" spans="1:13" ht="15" customHeight="1">
      <c r="A10" s="211"/>
      <c r="B10" s="211"/>
      <c r="C10" s="211"/>
      <c r="D10" s="211"/>
      <c r="E10" s="211"/>
      <c r="F10" s="211"/>
      <c r="G10" s="218"/>
      <c r="H10" s="218"/>
      <c r="I10" s="218"/>
      <c r="J10" s="218"/>
      <c r="K10" s="211"/>
    </row>
    <row r="11" spans="1:13" ht="20" customHeight="1">
      <c r="A11" s="87"/>
      <c r="B11" s="88"/>
      <c r="C11" s="88"/>
      <c r="D11" s="89"/>
      <c r="E11" s="90"/>
      <c r="F11" s="90"/>
      <c r="G11" s="91">
        <f>F11-E11</f>
        <v>0</v>
      </c>
      <c r="H11" s="113">
        <v>0.57499999999999996</v>
      </c>
      <c r="I11" s="96">
        <f>G11*H11</f>
        <v>0</v>
      </c>
      <c r="J11" s="95"/>
      <c r="K11" s="95"/>
      <c r="M11" t="s">
        <v>165</v>
      </c>
    </row>
    <row r="12" spans="1:13" ht="20" customHeight="1">
      <c r="A12" s="87"/>
      <c r="B12" s="88"/>
      <c r="C12" s="88"/>
      <c r="D12" s="89"/>
      <c r="E12" s="90"/>
      <c r="F12" s="90"/>
      <c r="G12" s="91">
        <f>F12-E12</f>
        <v>0</v>
      </c>
      <c r="H12" s="113">
        <v>0.57499999999999996</v>
      </c>
      <c r="I12" s="96">
        <f>G12*H12</f>
        <v>0</v>
      </c>
      <c r="J12" s="95"/>
      <c r="K12" s="95"/>
    </row>
    <row r="13" spans="1:13" ht="20" customHeight="1">
      <c r="A13" s="87"/>
      <c r="B13" s="88"/>
      <c r="C13" s="88"/>
      <c r="D13" s="89"/>
      <c r="E13" s="90"/>
      <c r="F13" s="90"/>
      <c r="G13" s="91">
        <f>F13-E13</f>
        <v>0</v>
      </c>
      <c r="H13" s="113">
        <v>0.57499999999999996</v>
      </c>
      <c r="I13" s="96">
        <f>G13*H13</f>
        <v>0</v>
      </c>
      <c r="J13" s="95"/>
      <c r="K13" s="95"/>
    </row>
    <row r="14" spans="1:13" ht="20" customHeight="1">
      <c r="A14" s="87"/>
      <c r="B14" s="88"/>
      <c r="C14" s="88"/>
      <c r="D14" s="89"/>
      <c r="E14" s="90"/>
      <c r="F14" s="90"/>
      <c r="G14" s="91">
        <f>F14-E14</f>
        <v>0</v>
      </c>
      <c r="H14" s="96">
        <v>0.57499999999999996</v>
      </c>
      <c r="I14" s="96">
        <f>G14*H14</f>
        <v>0</v>
      </c>
      <c r="J14" s="95"/>
      <c r="K14" s="95"/>
    </row>
    <row r="15" spans="1:13" ht="20" customHeight="1">
      <c r="A15" s="87"/>
      <c r="B15" s="88"/>
      <c r="C15" s="88"/>
      <c r="D15" s="89"/>
      <c r="E15" s="90"/>
      <c r="F15" s="90"/>
      <c r="G15" s="91">
        <f t="shared" ref="G15:G20" si="0">F15-E15</f>
        <v>0</v>
      </c>
      <c r="H15" s="96">
        <v>0.57499999999999996</v>
      </c>
      <c r="I15" s="96">
        <f t="shared" ref="I15:I20" si="1">G15*H15</f>
        <v>0</v>
      </c>
      <c r="J15" s="92"/>
      <c r="K15" s="92"/>
    </row>
    <row r="16" spans="1:13" ht="20" customHeight="1">
      <c r="A16" s="87"/>
      <c r="B16" s="88"/>
      <c r="C16" s="88"/>
      <c r="D16" s="89"/>
      <c r="E16" s="90"/>
      <c r="F16" s="90"/>
      <c r="G16" s="91">
        <f t="shared" si="0"/>
        <v>0</v>
      </c>
      <c r="H16" s="96">
        <v>0.57499999999999996</v>
      </c>
      <c r="I16" s="96">
        <f t="shared" si="1"/>
        <v>0</v>
      </c>
      <c r="J16" s="92"/>
      <c r="K16" s="92"/>
    </row>
    <row r="17" spans="1:11" ht="20" customHeight="1">
      <c r="A17" s="87"/>
      <c r="B17" s="88"/>
      <c r="C17" s="88"/>
      <c r="D17" s="89"/>
      <c r="E17" s="90"/>
      <c r="F17" s="90"/>
      <c r="G17" s="91">
        <f t="shared" si="0"/>
        <v>0</v>
      </c>
      <c r="H17" s="96">
        <v>0.57499999999999996</v>
      </c>
      <c r="I17" s="96">
        <f t="shared" si="1"/>
        <v>0</v>
      </c>
      <c r="J17" s="92"/>
      <c r="K17" s="92"/>
    </row>
    <row r="18" spans="1:11" ht="20" customHeight="1">
      <c r="A18" s="87"/>
      <c r="B18" s="88"/>
      <c r="C18" s="88"/>
      <c r="D18" s="89"/>
      <c r="E18" s="90"/>
      <c r="F18" s="90"/>
      <c r="G18" s="91">
        <f t="shared" si="0"/>
        <v>0</v>
      </c>
      <c r="H18" s="96">
        <v>0.57499999999999996</v>
      </c>
      <c r="I18" s="96">
        <f t="shared" si="1"/>
        <v>0</v>
      </c>
      <c r="J18" s="92"/>
      <c r="K18" s="92"/>
    </row>
    <row r="19" spans="1:11" ht="20" customHeight="1">
      <c r="A19" s="87"/>
      <c r="B19" s="88"/>
      <c r="C19" s="88"/>
      <c r="D19" s="89"/>
      <c r="E19" s="90"/>
      <c r="F19" s="90"/>
      <c r="G19" s="91">
        <f t="shared" si="0"/>
        <v>0</v>
      </c>
      <c r="H19" s="96">
        <v>0.57499999999999996</v>
      </c>
      <c r="I19" s="96">
        <f t="shared" si="1"/>
        <v>0</v>
      </c>
      <c r="J19" s="92"/>
      <c r="K19" s="92"/>
    </row>
    <row r="20" spans="1:11" ht="20" customHeight="1" thickBot="1">
      <c r="A20" s="105"/>
      <c r="B20" s="106"/>
      <c r="C20" s="106"/>
      <c r="D20" s="107"/>
      <c r="E20" s="103"/>
      <c r="F20" s="103"/>
      <c r="G20" s="108">
        <f t="shared" si="0"/>
        <v>0</v>
      </c>
      <c r="H20" s="109">
        <v>0.57499999999999996</v>
      </c>
      <c r="I20" s="109">
        <f t="shared" si="1"/>
        <v>0</v>
      </c>
      <c r="J20" s="104"/>
      <c r="K20" s="104"/>
    </row>
    <row r="21" spans="1:11" ht="20" customHeight="1">
      <c r="A21" s="99"/>
      <c r="B21" s="100"/>
      <c r="C21" s="100"/>
      <c r="D21" s="101"/>
      <c r="E21" s="102"/>
      <c r="F21" s="102"/>
      <c r="I21" s="214" t="s">
        <v>116</v>
      </c>
      <c r="J21" s="201" t="s">
        <v>117</v>
      </c>
      <c r="K21" s="201" t="s">
        <v>118</v>
      </c>
    </row>
    <row r="22" spans="1:11" ht="20" customHeight="1">
      <c r="A22" s="99"/>
      <c r="B22" s="100"/>
      <c r="C22" s="100"/>
      <c r="D22" s="101"/>
      <c r="E22" s="102"/>
      <c r="F22" s="102"/>
      <c r="I22" s="215"/>
      <c r="J22" s="202"/>
      <c r="K22" s="202"/>
    </row>
    <row r="23" spans="1:11" ht="20" customHeight="1" thickBot="1">
      <c r="A23" s="99"/>
      <c r="B23" s="100"/>
      <c r="C23" s="100"/>
      <c r="D23" s="101"/>
      <c r="E23" s="102"/>
      <c r="F23" s="102"/>
      <c r="I23" s="110">
        <f>SUM(I11:I20)</f>
        <v>0</v>
      </c>
      <c r="J23" s="111">
        <f t="shared" ref="J23:K23" si="2">SUM(J11:J20)</f>
        <v>0</v>
      </c>
      <c r="K23" s="111">
        <f t="shared" si="2"/>
        <v>0</v>
      </c>
    </row>
    <row r="24" spans="1:11" ht="17" thickTop="1">
      <c r="A24" s="76"/>
      <c r="B24" s="76"/>
      <c r="C24" s="77"/>
      <c r="D24" s="77"/>
      <c r="E24" s="78"/>
      <c r="F24" s="79"/>
      <c r="G24" s="79"/>
      <c r="H24" s="80"/>
      <c r="I24" s="203" t="s">
        <v>119</v>
      </c>
      <c r="J24" s="204"/>
      <c r="K24" s="205"/>
    </row>
    <row r="25" spans="1:11" ht="17" thickBot="1">
      <c r="A25" s="93" t="s">
        <v>109</v>
      </c>
      <c r="C25" s="82"/>
      <c r="D25" s="72"/>
      <c r="E25" s="72"/>
      <c r="F25" s="72"/>
      <c r="G25" s="72"/>
      <c r="H25" s="72"/>
      <c r="I25" s="206">
        <f>I23+J23+K23</f>
        <v>0</v>
      </c>
      <c r="J25" s="207"/>
      <c r="K25" s="208"/>
    </row>
    <row r="26" spans="1:11" ht="16" thickTop="1">
      <c r="A26" s="72"/>
      <c r="B26" s="82"/>
      <c r="C26" s="82"/>
      <c r="D26" s="72"/>
      <c r="E26" s="72"/>
      <c r="F26" s="72"/>
      <c r="G26" s="72"/>
      <c r="H26" s="72"/>
      <c r="I26" s="72"/>
      <c r="J26" s="72"/>
      <c r="K26" s="72"/>
    </row>
    <row r="27" spans="1:11">
      <c r="A27" s="72"/>
      <c r="B27" s="72"/>
      <c r="C27" s="72"/>
      <c r="D27" s="72"/>
      <c r="E27" s="72"/>
      <c r="F27" s="72"/>
      <c r="G27" s="72"/>
      <c r="H27" s="72"/>
      <c r="I27" s="72"/>
      <c r="J27" s="72"/>
      <c r="K27" s="72"/>
    </row>
    <row r="28" spans="1:11">
      <c r="A28" s="72"/>
      <c r="B28" s="72"/>
      <c r="C28" s="72"/>
      <c r="D28" s="72"/>
      <c r="E28" s="72"/>
      <c r="F28" s="72"/>
      <c r="G28" s="72"/>
      <c r="H28" s="72"/>
      <c r="I28" s="72"/>
      <c r="J28" s="72"/>
      <c r="K28" s="72"/>
    </row>
    <row r="29" spans="1:11">
      <c r="A29" s="86" t="s">
        <v>110</v>
      </c>
      <c r="B29" s="83"/>
      <c r="C29" s="83"/>
      <c r="D29" s="81"/>
      <c r="E29" s="85" t="s">
        <v>111</v>
      </c>
      <c r="F29" s="223"/>
      <c r="G29" s="223"/>
      <c r="H29" s="72"/>
      <c r="I29" s="72"/>
      <c r="J29" s="72"/>
      <c r="K29" s="72"/>
    </row>
    <row r="30" spans="1:11">
      <c r="A30" s="72"/>
      <c r="B30" s="72"/>
      <c r="C30" s="72"/>
      <c r="D30" s="72"/>
      <c r="E30" s="72"/>
      <c r="F30" s="72"/>
      <c r="G30" s="72"/>
      <c r="H30" s="72"/>
      <c r="I30" s="72"/>
      <c r="J30" s="72"/>
      <c r="K30" s="72"/>
    </row>
  </sheetData>
  <mergeCells count="23">
    <mergeCell ref="C2:F2"/>
    <mergeCell ref="C3:F3"/>
    <mergeCell ref="B6:C6"/>
    <mergeCell ref="B5:C5"/>
    <mergeCell ref="F29:G29"/>
    <mergeCell ref="B4:C4"/>
    <mergeCell ref="G8:G10"/>
    <mergeCell ref="D8:D10"/>
    <mergeCell ref="C8:C10"/>
    <mergeCell ref="B8:B10"/>
    <mergeCell ref="K21:K22"/>
    <mergeCell ref="J21:J22"/>
    <mergeCell ref="I24:K24"/>
    <mergeCell ref="I25:K25"/>
    <mergeCell ref="A8:A10"/>
    <mergeCell ref="E8:F8"/>
    <mergeCell ref="F9:F10"/>
    <mergeCell ref="E9:E10"/>
    <mergeCell ref="I21:I22"/>
    <mergeCell ref="H8:H10"/>
    <mergeCell ref="I8:I10"/>
    <mergeCell ref="J8:J10"/>
    <mergeCell ref="K8:K10"/>
  </mergeCells>
  <printOptions horizontalCentered="1"/>
  <pageMargins left="0.2" right="0.2" top="0.75" bottom="0.75" header="0.05" footer="0.05"/>
  <pageSetup scale="55"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0E66F-7D97-4152-8B4E-33947AF42756}">
  <dimension ref="B1:F37"/>
  <sheetViews>
    <sheetView view="pageBreakPreview" zoomScaleNormal="100" zoomScaleSheetLayoutView="100" workbookViewId="0">
      <selection activeCell="I17" sqref="I17"/>
    </sheetView>
  </sheetViews>
  <sheetFormatPr baseColWidth="10" defaultColWidth="8.83203125" defaultRowHeight="15"/>
  <cols>
    <col min="1" max="1" width="3.5" customWidth="1"/>
    <col min="2" max="2" width="22.5" customWidth="1"/>
    <col min="3" max="3" width="11.5" customWidth="1"/>
    <col min="4" max="4" width="10.5" customWidth="1"/>
    <col min="5" max="5" width="17.83203125" customWidth="1"/>
    <col min="6" max="6" width="34.1640625" customWidth="1"/>
  </cols>
  <sheetData>
    <row r="1" spans="2:6" ht="38">
      <c r="B1" s="174" t="s">
        <v>72</v>
      </c>
      <c r="C1" s="174"/>
      <c r="D1" s="174"/>
      <c r="E1" s="174"/>
      <c r="F1" s="174"/>
    </row>
    <row r="2" spans="2:6">
      <c r="B2" s="1" t="s">
        <v>34</v>
      </c>
      <c r="C2" s="2" t="str">
        <f>'2-Work Summary'!C2</f>
        <v>BWT-1608-JBCON</v>
      </c>
      <c r="D2" s="3"/>
      <c r="E2" s="3"/>
      <c r="F2" s="3"/>
    </row>
    <row r="3" spans="2:6">
      <c r="B3" s="5" t="s">
        <v>35</v>
      </c>
      <c r="C3" s="2" t="str">
        <f>'2-Work Summary'!C3</f>
        <v>826251608JBCON</v>
      </c>
      <c r="D3" s="6"/>
      <c r="E3" s="2"/>
      <c r="F3" s="6"/>
    </row>
    <row r="4" spans="2:6">
      <c r="B4" s="5" t="s">
        <v>36</v>
      </c>
      <c r="C4" s="114" t="str">
        <f>'2-Work Summary'!C4</f>
        <v>CTI 826 20268804134</v>
      </c>
      <c r="D4" s="6"/>
      <c r="E4" s="2"/>
      <c r="F4" s="6"/>
    </row>
    <row r="5" spans="2:6">
      <c r="B5" s="5" t="s">
        <v>128</v>
      </c>
      <c r="C5" s="114">
        <f>'2-Work Summary'!C5</f>
        <v>203434</v>
      </c>
      <c r="D5" s="6"/>
      <c r="E5" s="2"/>
      <c r="F5" s="6"/>
    </row>
    <row r="6" spans="2:6">
      <c r="B6" s="5" t="s">
        <v>37</v>
      </c>
      <c r="C6" s="114" t="str">
        <f>'2-Work Summary'!C6</f>
        <v>Master Planning for Jamaica Bay Wastewater Resource Recovery Facility Consolidation</v>
      </c>
      <c r="D6" s="6"/>
      <c r="E6" s="2"/>
      <c r="F6" s="6"/>
    </row>
    <row r="7" spans="2:6">
      <c r="B7" s="5" t="s">
        <v>39</v>
      </c>
      <c r="C7" s="148" t="s">
        <v>136</v>
      </c>
      <c r="D7" s="148"/>
      <c r="E7" s="117"/>
      <c r="F7" s="117"/>
    </row>
    <row r="8" spans="2:6">
      <c r="B8" s="5" t="s">
        <v>4</v>
      </c>
      <c r="C8" s="7"/>
      <c r="D8" s="6"/>
      <c r="E8" s="2"/>
      <c r="F8" s="6"/>
    </row>
    <row r="9" spans="2:6">
      <c r="B9" s="5" t="s">
        <v>38</v>
      </c>
      <c r="C9" s="8"/>
      <c r="D9" s="6"/>
      <c r="E9" s="2"/>
      <c r="F9" s="6"/>
    </row>
    <row r="11" spans="2:6">
      <c r="B11" s="228" t="s">
        <v>73</v>
      </c>
      <c r="C11" s="228"/>
      <c r="D11" s="228"/>
      <c r="E11" s="228"/>
      <c r="F11" s="228"/>
    </row>
    <row r="12" spans="2:6" ht="56" customHeight="1">
      <c r="B12" s="63" t="s">
        <v>74</v>
      </c>
      <c r="C12" s="229" t="s">
        <v>77</v>
      </c>
      <c r="D12" s="229"/>
      <c r="E12" s="65" t="s">
        <v>76</v>
      </c>
      <c r="F12" s="64" t="s">
        <v>75</v>
      </c>
    </row>
    <row r="13" spans="2:6">
      <c r="B13" s="66"/>
      <c r="C13" s="226"/>
      <c r="D13" s="227"/>
      <c r="E13" s="60"/>
      <c r="F13" s="60"/>
    </row>
    <row r="14" spans="2:6">
      <c r="B14" s="67"/>
      <c r="C14" s="226"/>
      <c r="D14" s="227"/>
      <c r="E14" s="60"/>
      <c r="F14" s="60"/>
    </row>
    <row r="15" spans="2:6">
      <c r="B15" s="60"/>
      <c r="C15" s="226"/>
      <c r="D15" s="227"/>
      <c r="E15" s="60"/>
      <c r="F15" s="60"/>
    </row>
    <row r="16" spans="2:6">
      <c r="B16" s="60"/>
      <c r="C16" s="226"/>
      <c r="D16" s="227"/>
      <c r="E16" s="60"/>
      <c r="F16" s="60"/>
    </row>
    <row r="17" spans="2:6">
      <c r="B17" s="68"/>
      <c r="C17" s="226"/>
      <c r="D17" s="227"/>
      <c r="E17" s="60"/>
      <c r="F17" s="60"/>
    </row>
    <row r="18" spans="2:6">
      <c r="B18" s="67"/>
      <c r="C18" s="226"/>
      <c r="D18" s="227"/>
      <c r="E18" s="60"/>
      <c r="F18" s="60"/>
    </row>
    <row r="19" spans="2:6">
      <c r="B19" s="67"/>
      <c r="C19" s="226"/>
      <c r="D19" s="227"/>
      <c r="E19" s="60"/>
      <c r="F19" s="60"/>
    </row>
    <row r="20" spans="2:6">
      <c r="B20" s="60"/>
      <c r="C20" s="226"/>
      <c r="D20" s="227"/>
      <c r="E20" s="60"/>
      <c r="F20" s="60"/>
    </row>
    <row r="21" spans="2:6">
      <c r="B21" s="60"/>
      <c r="C21" s="226"/>
      <c r="D21" s="227"/>
      <c r="E21" s="60"/>
      <c r="F21" s="60"/>
    </row>
    <row r="22" spans="2:6">
      <c r="C22" s="70"/>
      <c r="D22" s="70"/>
    </row>
    <row r="23" spans="2:6">
      <c r="C23" s="70"/>
      <c r="D23" s="70"/>
    </row>
    <row r="24" spans="2:6">
      <c r="C24" s="70"/>
      <c r="D24" s="70"/>
    </row>
    <row r="25" spans="2:6">
      <c r="C25" s="70"/>
      <c r="D25" s="70"/>
    </row>
    <row r="26" spans="2:6">
      <c r="B26" s="5"/>
    </row>
    <row r="27" spans="2:6">
      <c r="B27" s="69"/>
      <c r="C27" s="41"/>
      <c r="E27" s="41"/>
      <c r="F27" s="41"/>
    </row>
    <row r="28" spans="2:6">
      <c r="B28" s="62" t="s">
        <v>32</v>
      </c>
      <c r="E28" s="62" t="s">
        <v>25</v>
      </c>
    </row>
    <row r="30" spans="2:6" ht="15" customHeight="1">
      <c r="B30" s="41"/>
      <c r="C30" s="41"/>
      <c r="E30" s="41"/>
      <c r="F30" s="41"/>
    </row>
    <row r="31" spans="2:6">
      <c r="B31" s="62" t="s">
        <v>33</v>
      </c>
      <c r="E31" s="62" t="s">
        <v>25</v>
      </c>
    </row>
    <row r="32" spans="2:6">
      <c r="B32" s="2"/>
    </row>
    <row r="33" spans="2:6">
      <c r="B33" s="2"/>
    </row>
    <row r="35" spans="2:6">
      <c r="B35" s="171"/>
      <c r="C35" s="171"/>
      <c r="D35" s="171"/>
      <c r="E35" s="171"/>
      <c r="F35" s="171"/>
    </row>
    <row r="36" spans="2:6">
      <c r="B36" s="171"/>
      <c r="C36" s="171"/>
      <c r="D36" s="171"/>
      <c r="E36" s="171"/>
      <c r="F36" s="171"/>
    </row>
    <row r="37" spans="2:6">
      <c r="B37" s="171"/>
      <c r="C37" s="171"/>
      <c r="D37" s="171"/>
      <c r="E37" s="171"/>
      <c r="F37" s="171"/>
    </row>
  </sheetData>
  <mergeCells count="16">
    <mergeCell ref="B35:F35"/>
    <mergeCell ref="B36:F36"/>
    <mergeCell ref="B37:F37"/>
    <mergeCell ref="B11:F11"/>
    <mergeCell ref="C12:D12"/>
    <mergeCell ref="C16:D16"/>
    <mergeCell ref="C17:D17"/>
    <mergeCell ref="C18:D18"/>
    <mergeCell ref="C19:D19"/>
    <mergeCell ref="C20:D20"/>
    <mergeCell ref="C21:D21"/>
    <mergeCell ref="B1:F1"/>
    <mergeCell ref="C13:D13"/>
    <mergeCell ref="C14:D14"/>
    <mergeCell ref="C15:D15"/>
    <mergeCell ref="C7:D7"/>
  </mergeCells>
  <dataValidations count="1">
    <dataValidation allowBlank="1" showErrorMessage="1" promptTitle="Subconsultant Budgeting" prompt="Add Subconsultant Names on this row and costs by phase/task below.  To add additional columns, use Add Subconsultant macro._x000a__x000a_The first subconsultant's name must be entered before additional subconsultant columns can be inserted." sqref="C7" xr:uid="{FDE97E59-2E9A-4F4B-86D2-642C1D780C58}"/>
  </dataValidations>
  <pageMargins left="0.7" right="0.7" top="0.75" bottom="0.75" header="0.3" footer="0.3"/>
  <pageSetup scale="93" orientation="portrait" r:id="rId1"/>
</worksheet>
</file>

<file path=docMetadata/LabelInfo.xml><?xml version="1.0" encoding="utf-8"?>
<clbl:labelList xmlns:clbl="http://schemas.microsoft.com/office/2020/mipLabelMetadata">
  <clbl:label id="{ae29e37d-a8a4-4222-a804-8a2bb3536c03}" enabled="1" method="Standard" siteId="{cb2bab3d-7d90-44ea-9e31-531011b1213d}"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0-Instructions</vt:lpstr>
      <vt:lpstr>1-Invoice Cover Sheet</vt:lpstr>
      <vt:lpstr>Sheet1</vt:lpstr>
      <vt:lpstr>Previous</vt:lpstr>
      <vt:lpstr>2-Work Summary</vt:lpstr>
      <vt:lpstr>3-Summary Billing Report</vt:lpstr>
      <vt:lpstr>4a-Labor Summary</vt:lpstr>
      <vt:lpstr>4b-Mileage Log</vt:lpstr>
      <vt:lpstr>5-Lump Sum Deliverable</vt:lpstr>
      <vt:lpstr>'0-Instructions'!Print_Area</vt:lpstr>
      <vt:lpstr>'2-Work Summary'!Print_Area</vt:lpstr>
      <vt:lpstr>'3-Summary Billing Report'!Print_Area</vt:lpstr>
      <vt:lpstr>'4a-Labor Summary'!Print_Area</vt:lpstr>
      <vt:lpstr>'4b-Mileage Log'!Print_Area</vt:lpstr>
      <vt:lpstr>'5-Lump Sum Deliverable'!Print_Area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Ellis, Joan</dc:creator>
  <cp:lastModifiedBy>Ailsa Gilliam</cp:lastModifiedBy>
  <cp:lastPrinted>2026-07-02T15:56:53Z</cp:lastPrinted>
  <dcterms:created xsi:type="dcterms:W3CDTF">2016-10-19T15:21:10Z</dcterms:created>
  <dcterms:modified xsi:type="dcterms:W3CDTF">2026-07-06T15:23:45Z</dcterms:modified>
</cp:coreProperties>
</file>