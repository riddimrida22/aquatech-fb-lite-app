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ilsagilliam/Library/CloudStorage/GoogleDrive-ailsa.welch@aquatechpc.com/Shared drives/Aquatech_Admin/Invoicing/Stantec B&amp;C JV/Feb 2026 Stantec BC JV/"/>
    </mc:Choice>
  </mc:AlternateContent>
  <xr:revisionPtr revIDLastSave="0" documentId="13_ncr:1_{9DA831BD-482A-264B-9B94-EEADEE20E5BB}" xr6:coauthVersionLast="47" xr6:coauthVersionMax="47" xr10:uidLastSave="{00000000-0000-0000-0000-000000000000}"/>
  <bookViews>
    <workbookView xWindow="300" yWindow="740" windowWidth="29100" windowHeight="17260" tabRatio="860" activeTab="2" xr2:uid="{00000000-000D-0000-FFFF-FFFF00000000}"/>
  </bookViews>
  <sheets>
    <sheet name="Sub Agreement Cover Page" sheetId="21" r:id="rId1"/>
    <sheet name="Invoicing Instructions" sheetId="20" r:id="rId2"/>
    <sheet name="Invoice Summary" sheetId="1" r:id="rId3"/>
    <sheet name="Prior" sheetId="25" r:id="rId4"/>
    <sheet name="Supporting Docs Cover Page" sheetId="7" r:id="rId5"/>
    <sheet name="Invoice Template_Task# 5" sheetId="24" r:id="rId6"/>
    <sheet name="Timesheet Backup" sheetId="10" r:id="rId7"/>
    <sheet name="Sheet2" sheetId="26" r:id="rId8"/>
  </sheets>
  <definedNames>
    <definedName name="_Key1" localSheetId="5" hidden="1">#REF!</definedName>
    <definedName name="_Key1" localSheetId="0" hidden="1">#REF!</definedName>
    <definedName name="_Key1" hidden="1">#REF!</definedName>
    <definedName name="_Key2" localSheetId="5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localSheetId="5" hidden="1">#REF!</definedName>
    <definedName name="_Sort" localSheetId="0" hidden="1">#REF!</definedName>
    <definedName name="_Sort" hidden="1">#REF!</definedName>
    <definedName name="\A" localSheetId="5">#REF!</definedName>
    <definedName name="\A" localSheetId="1">#REF!</definedName>
    <definedName name="\A" localSheetId="0">#REF!</definedName>
    <definedName name="\A">#REF!</definedName>
    <definedName name="\d" localSheetId="5">#REF!</definedName>
    <definedName name="\d" localSheetId="1">#REF!</definedName>
    <definedName name="\d" localSheetId="0">#REF!</definedName>
    <definedName name="\d">#REF!</definedName>
    <definedName name="\Y" localSheetId="5">#REF!</definedName>
    <definedName name="\Y" localSheetId="0">#REF!</definedName>
    <definedName name="\Y">#REF!</definedName>
    <definedName name="\Z" localSheetId="5">#REF!</definedName>
    <definedName name="\Z" localSheetId="0">#REF!</definedName>
    <definedName name="\Z">#REF!</definedName>
    <definedName name="A" localSheetId="5">#REF!</definedName>
    <definedName name="A" localSheetId="0">#REF!</definedName>
    <definedName name="A">#REF!</definedName>
    <definedName name="B" localSheetId="5">#REF!</definedName>
    <definedName name="B" localSheetId="0">#REF!</definedName>
    <definedName name="B">#REF!</definedName>
    <definedName name="CAD" localSheetId="5">#REF!</definedName>
    <definedName name="CAD" localSheetId="0">#REF!</definedName>
    <definedName name="CAD">#REF!</definedName>
    <definedName name="CADY" localSheetId="5">#REF!</definedName>
    <definedName name="CADY" localSheetId="0">#REF!</definedName>
    <definedName name="CADY">#REF!</definedName>
    <definedName name="d" localSheetId="5">#REF!</definedName>
    <definedName name="d" localSheetId="0">#REF!</definedName>
    <definedName name="d">#REF!</definedName>
    <definedName name="DETAILS2PROCESS" localSheetId="5">#REF!</definedName>
    <definedName name="DETAILS2PROCESS" localSheetId="0">#REF!</definedName>
    <definedName name="DETAILS2PROCESS">#REF!</definedName>
    <definedName name="INV" localSheetId="5">#REF!</definedName>
    <definedName name="INV" localSheetId="0">#REF!</definedName>
    <definedName name="INV">#REF!</definedName>
    <definedName name="l" localSheetId="5">#REF!</definedName>
    <definedName name="l" localSheetId="0">#REF!</definedName>
    <definedName name="l">#REF!</definedName>
    <definedName name="ll" localSheetId="5">#REF!</definedName>
    <definedName name="ll" localSheetId="0">#REF!</definedName>
    <definedName name="ll">#REF!</definedName>
    <definedName name="newprintarea" localSheetId="5">#REF!</definedName>
    <definedName name="newprintarea" localSheetId="0">#REF!</definedName>
    <definedName name="newprintarea">#REF!</definedName>
    <definedName name="ODC" localSheetId="5">#REF!</definedName>
    <definedName name="ODC" localSheetId="0">#REF!</definedName>
    <definedName name="ODC">#REF!</definedName>
    <definedName name="_xlnm.Print_Area" localSheetId="2">'Invoice Summary'!$A$1:$I$48</definedName>
    <definedName name="_xlnm.Print_Area" localSheetId="5">'Invoice Template_Task# 5'!$A$1:$N$38</definedName>
    <definedName name="_xlnm.Print_Area" localSheetId="0">#REF!</definedName>
    <definedName name="_xlnm.Print_Area">#REF!</definedName>
    <definedName name="Print_Area_MI" localSheetId="5">#REF!</definedName>
    <definedName name="Print_Area_MI" localSheetId="0">#REF!</definedName>
    <definedName name="Print_Area_MI">#REF!</definedName>
    <definedName name="_xlnm.Print_Titles">#N/A</definedName>
    <definedName name="PRINT_TITLES_MI" localSheetId="5">#REF!</definedName>
    <definedName name="PRINT_TITLES_MI" localSheetId="0">#REF!</definedName>
    <definedName name="PRINT_TITLES_MI">#REF!</definedName>
    <definedName name="RECE002_159255" localSheetId="5">#REF!</definedName>
    <definedName name="RECE002_159255" localSheetId="0">#REF!</definedName>
    <definedName name="RECE002_159255">#REF!</definedName>
    <definedName name="SUM" localSheetId="5">#REF!</definedName>
    <definedName name="SUM" localSheetId="0">#REF!</definedName>
    <definedName name="SUM">#REF!</definedName>
    <definedName name="TOTAL" localSheetId="5">#REF!</definedName>
    <definedName name="TOTAL" localSheetId="0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5" l="1"/>
  <c r="C29" i="1" s="1"/>
  <c r="N5" i="24"/>
  <c r="H28" i="1" l="1"/>
  <c r="H30" i="1"/>
  <c r="I30" i="1"/>
  <c r="H31" i="1"/>
  <c r="I31" i="1"/>
  <c r="G30" i="1"/>
  <c r="G31" i="1"/>
  <c r="F34" i="1"/>
  <c r="F27" i="1"/>
  <c r="A10" i="24"/>
  <c r="N16" i="24"/>
  <c r="B12" i="25" l="1"/>
  <c r="C28" i="1" s="1"/>
  <c r="E28" i="1" s="1"/>
  <c r="I28" i="1" s="1"/>
  <c r="N15" i="24"/>
  <c r="N35" i="24" l="1"/>
  <c r="H25" i="24"/>
  <c r="N24" i="24"/>
  <c r="N23" i="24"/>
  <c r="N25" i="24" s="1"/>
  <c r="H18" i="24"/>
  <c r="N17" i="24"/>
  <c r="N14" i="24"/>
  <c r="N6" i="24"/>
  <c r="A1" i="24"/>
  <c r="N18" i="24" l="1"/>
  <c r="N26" i="24"/>
  <c r="N27" i="24" s="1"/>
  <c r="N28" i="24" s="1"/>
  <c r="N19" i="24" l="1"/>
  <c r="N20" i="24" s="1"/>
  <c r="N21" i="24" s="1"/>
  <c r="D29" i="1" l="1"/>
  <c r="N30" i="24"/>
  <c r="N38" i="24" s="1"/>
  <c r="D27" i="1" s="1"/>
  <c r="H27" i="1" s="1"/>
  <c r="H34" i="1" s="1"/>
  <c r="H29" i="1" l="1"/>
  <c r="E29" i="1"/>
  <c r="D34" i="1"/>
  <c r="D22" i="1" s="1"/>
  <c r="I29" i="1" l="1"/>
  <c r="G29" i="1"/>
  <c r="G28" i="1"/>
  <c r="C34" i="1"/>
  <c r="C27" i="1"/>
  <c r="E27" i="1" s="1"/>
  <c r="G34" i="1" l="1"/>
  <c r="G27" i="1"/>
  <c r="I27" i="1"/>
  <c r="I34" i="1" s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Filion, Jasmin</author>
  </authors>
  <commentList>
    <comment ref="N19" authorId="0" shapeId="0" xr:uid="{00000000-0006-0000-0800-000001000000}">
      <text>
        <r>
          <rPr>
            <b/>
            <sz val="9"/>
            <color rgb="FF000000"/>
            <rFont val="Tahoma"/>
            <family val="2"/>
          </rPr>
          <t xml:space="preserve">Melinda Hunt:
</t>
        </r>
        <r>
          <rPr>
            <sz val="9"/>
            <color rgb="FF000000"/>
            <rFont val="Tahoma"/>
            <family val="2"/>
          </rPr>
          <t xml:space="preserve">Default OH per contract 1.14 OH%, if audited rates are not provided
</t>
        </r>
      </text>
    </comment>
  </commentList>
</comments>
</file>

<file path=xl/sharedStrings.xml><?xml version="1.0" encoding="utf-8"?>
<sst xmlns="http://schemas.openxmlformats.org/spreadsheetml/2006/main" count="111" uniqueCount="102">
  <si>
    <t>Date:</t>
  </si>
  <si>
    <t xml:space="preserve">This    </t>
  </si>
  <si>
    <t>Total Billed</t>
  </si>
  <si>
    <t>Contract Summary by Task</t>
  </si>
  <si>
    <t xml:space="preserve">Invoice  </t>
  </si>
  <si>
    <t xml:space="preserve">to Date   </t>
  </si>
  <si>
    <t>Total Contract</t>
  </si>
  <si>
    <t>Other Direct Costs</t>
  </si>
  <si>
    <t>To</t>
  </si>
  <si>
    <t>This Invoice</t>
  </si>
  <si>
    <t>Authorized Signature</t>
  </si>
  <si>
    <t>Title</t>
  </si>
  <si>
    <t>Maximum</t>
  </si>
  <si>
    <t>Balance</t>
  </si>
  <si>
    <t>Remaining</t>
  </si>
  <si>
    <t xml:space="preserve">% Complete </t>
  </si>
  <si>
    <t>Date</t>
  </si>
  <si>
    <t>Support Services for the Period:</t>
  </si>
  <si>
    <t>Previously</t>
  </si>
  <si>
    <t>This</t>
  </si>
  <si>
    <t>Payment</t>
  </si>
  <si>
    <t>Invoice Summary</t>
  </si>
  <si>
    <t>Invoice #:</t>
  </si>
  <si>
    <t>Invoice Date</t>
  </si>
  <si>
    <t>Amount</t>
  </si>
  <si>
    <t>Bill To:</t>
  </si>
  <si>
    <t>Invoice</t>
  </si>
  <si>
    <t>Professional Services and Expense Detail</t>
  </si>
  <si>
    <t>Hours</t>
  </si>
  <si>
    <t>Billing Rate</t>
  </si>
  <si>
    <t>Employee Name</t>
  </si>
  <si>
    <t>Supporting Documentation</t>
  </si>
  <si>
    <t>Labor</t>
  </si>
  <si>
    <t>Invoice should show employee hours times direct labor salary</t>
  </si>
  <si>
    <t>Receipts must be provided with personal travel expenses</t>
  </si>
  <si>
    <t>Profit @ 0% on Labor &amp; OH</t>
  </si>
  <si>
    <t>Documents to be submitted</t>
  </si>
  <si>
    <t>Timesheet Backup</t>
  </si>
  <si>
    <t xml:space="preserve">Expense detail and supporting backup </t>
  </si>
  <si>
    <t>Direct Labor</t>
  </si>
  <si>
    <t>Invoices should be submitted on a monthly basis per contract requirement</t>
  </si>
  <si>
    <t>Expense Detail</t>
  </si>
  <si>
    <t>Direct Expenses</t>
  </si>
  <si>
    <t>Direct Salary Rate</t>
  </si>
  <si>
    <t>Overtime must be approved in advance by NYCDEP</t>
  </si>
  <si>
    <t>Work Description Summary Report should accompany each invoice</t>
  </si>
  <si>
    <t>Travel expenses must include employee name and state purpose of the trip and from-to location</t>
  </si>
  <si>
    <t>Subconsultant Agreement</t>
  </si>
  <si>
    <t>Profit @ 10% on Labor &amp; OH</t>
  </si>
  <si>
    <t>Total Labor</t>
  </si>
  <si>
    <t>For more detailed instruction please refer to Article XV - Cost plus payment terms</t>
  </si>
  <si>
    <t>Overnight Travel must be approved in advance and travel for more than 100 Miles Per Day, DEP Approval form is required</t>
  </si>
  <si>
    <t>Task Detail</t>
  </si>
  <si>
    <t>NYCDEP  Invoicing Requirements</t>
  </si>
  <si>
    <t xml:space="preserve"> Invoice No.</t>
  </si>
  <si>
    <t>Place Company Letterhead Here</t>
  </si>
  <si>
    <t>Aquatech Engineering, P.C.</t>
  </si>
  <si>
    <t>Separate line for each the Overhead and Profit</t>
  </si>
  <si>
    <t>Timesheet backup must be provided to support direct labor hours billed, hours should be circled or highlighted.</t>
  </si>
  <si>
    <r>
      <t xml:space="preserve">Principal's Time </t>
    </r>
    <r>
      <rPr>
        <u/>
        <sz val="11"/>
        <rFont val="Calibri"/>
        <family val="2"/>
        <scheme val="minor"/>
      </rPr>
      <t>should not</t>
    </r>
    <r>
      <rPr>
        <sz val="11"/>
        <rFont val="Calibri"/>
        <family val="2"/>
        <scheme val="minor"/>
      </rPr>
      <t xml:space="preserve"> include profit, should bill Labor and overhead only</t>
    </r>
  </si>
  <si>
    <t>Mileage Reimbursement is governemnt standard per mile</t>
  </si>
  <si>
    <t>Travel mileage form (attached) must be included with personal mileage</t>
  </si>
  <si>
    <t>Aquatech Engineering</t>
  </si>
  <si>
    <t>Task</t>
  </si>
  <si>
    <t>STAFF</t>
  </si>
  <si>
    <t>Overhead Rate @114%</t>
  </si>
  <si>
    <t xml:space="preserve">Zachary </t>
  </si>
  <si>
    <t>Gilliam</t>
  </si>
  <si>
    <t>Robert</t>
  </si>
  <si>
    <t>Svadlenka</t>
  </si>
  <si>
    <t>Bertrand</t>
  </si>
  <si>
    <t>Byrne</t>
  </si>
  <si>
    <t>Aquatech Engineering P.C.</t>
  </si>
  <si>
    <t>15 Bonita Vista Road</t>
  </si>
  <si>
    <t>Mount Vernon, NY 10552</t>
  </si>
  <si>
    <t>Timesheet BackUp</t>
  </si>
  <si>
    <t>Data Analyst</t>
  </si>
  <si>
    <t>Senior Engineer</t>
  </si>
  <si>
    <t>Chief Engineer/Principal</t>
  </si>
  <si>
    <t>Prior</t>
  </si>
  <si>
    <t>Total</t>
  </si>
  <si>
    <t>Stacey</t>
  </si>
  <si>
    <t>Hodge</t>
  </si>
  <si>
    <t>Engineer</t>
  </si>
  <si>
    <t>Melissa Carter, Project Manager</t>
  </si>
  <si>
    <t>Stantec/Brown and Caldwell</t>
  </si>
  <si>
    <t>475 Fifth Avenue, 12th Floor, New York, NY 10017</t>
  </si>
  <si>
    <t>CONSENT ORDER AND PERMIT COMPLIANCE TECHNICAL SUPPORT</t>
  </si>
  <si>
    <t>Task Order</t>
  </si>
  <si>
    <t>Ailsa</t>
  </si>
  <si>
    <t>Welch</t>
  </si>
  <si>
    <t>Project Manager/Data Analyst</t>
  </si>
  <si>
    <t>Total Task 3</t>
  </si>
  <si>
    <t>3.1 - Characterize Existing Conditions</t>
  </si>
  <si>
    <t>Contract Reg No.:   Assignment 014 (ASGMT-014)</t>
  </si>
  <si>
    <t>Contract ID: BWT Citywide Regulatory Program Assistance, 1539-REG</t>
  </si>
  <si>
    <t>Task 3.2 - Jamaica Bay Beneficial Use</t>
  </si>
  <si>
    <t>3.2 - Jamaica Bay Beneficial Use</t>
  </si>
  <si>
    <t>3.4 - Variance Recommendations</t>
  </si>
  <si>
    <t>3.5 - Meetings with DEC</t>
  </si>
  <si>
    <t>02/23/26</t>
  </si>
  <si>
    <t>SBCAQ0005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</si>
</sst>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.00"/>
    <numFmt numFmtId="166" formatCode="_(&quot;$&quot;* #,##0_);_(&quot;$&quot;* \(#,##0\);_(&quot;$&quot;* &quot;-&quot;??_);_(@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8"/>
      <color rgb="FF0000FF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48"/>
      <name val="Arial"/>
      <family val="2"/>
    </font>
    <font>
      <sz val="2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sz val="8"/>
      <color theme="1"/>
      <name val="Times New Roman"/>
      <family val="1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name val="Arial"/>
      <family val="2"/>
    </font>
    <font>
      <u/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Arial"/>
      <family val="2"/>
    </font>
    <font>
      <sz val="8"/>
      <color theme="0"/>
      <name val="Times New Roman"/>
      <family val="1"/>
    </font>
    <font>
      <sz val="8"/>
      <color rgb="FF2F4E6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9" fontId="4" fillId="0" borderId="0" applyFont="0" applyFill="0" applyBorder="0" applyAlignment="0" applyProtection="0"/>
    <xf numFmtId="0" fontId="5" fillId="0" borderId="0"/>
    <xf numFmtId="0" fontId="14" fillId="0" borderId="0"/>
    <xf numFmtId="0" fontId="17" fillId="0" borderId="0"/>
    <xf numFmtId="9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100">
    <xf numFmtId="0" fontId="0" fillId="0" borderId="0" xfId="0"/>
    <xf numFmtId="0" fontId="7" fillId="0" borderId="0" xfId="0" applyFont="1"/>
    <xf numFmtId="0" fontId="6" fillId="0" borderId="1" xfId="0" applyFont="1" applyBorder="1"/>
    <xf numFmtId="0" fontId="6" fillId="0" borderId="0" xfId="0" applyFont="1"/>
    <xf numFmtId="4" fontId="7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49" fontId="11" fillId="0" borderId="0" xfId="0" applyNumberFormat="1" applyFont="1"/>
    <xf numFmtId="0" fontId="12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horizontal="center"/>
    </xf>
    <xf numFmtId="0" fontId="20" fillId="0" borderId="0" xfId="12" applyFont="1"/>
    <xf numFmtId="0" fontId="2" fillId="0" borderId="0" xfId="12"/>
    <xf numFmtId="0" fontId="21" fillId="0" borderId="0" xfId="12" applyFont="1" applyAlignment="1">
      <alignment horizontal="right"/>
    </xf>
    <xf numFmtId="0" fontId="22" fillId="0" borderId="0" xfId="12" applyFont="1"/>
    <xf numFmtId="0" fontId="23" fillId="0" borderId="0" xfId="12" applyFont="1"/>
    <xf numFmtId="0" fontId="24" fillId="0" borderId="0" xfId="12" applyFont="1" applyAlignment="1">
      <alignment horizontal="center"/>
    </xf>
    <xf numFmtId="0" fontId="24" fillId="0" borderId="0" xfId="12" applyFont="1"/>
    <xf numFmtId="0" fontId="25" fillId="0" borderId="0" xfId="12" applyFont="1"/>
    <xf numFmtId="0" fontId="24" fillId="2" borderId="2" xfId="12" applyFont="1" applyFill="1" applyBorder="1" applyAlignment="1">
      <alignment vertical="top"/>
    </xf>
    <xf numFmtId="0" fontId="26" fillId="2" borderId="2" xfId="12" applyFont="1" applyFill="1" applyBorder="1" applyAlignment="1">
      <alignment horizontal="center"/>
    </xf>
    <xf numFmtId="0" fontId="22" fillId="0" borderId="0" xfId="12" applyFont="1" applyAlignment="1">
      <alignment horizontal="left"/>
    </xf>
    <xf numFmtId="0" fontId="27" fillId="0" borderId="0" xfId="12" applyFont="1" applyAlignment="1">
      <alignment horizontal="center"/>
    </xf>
    <xf numFmtId="0" fontId="28" fillId="0" borderId="0" xfId="12" applyFont="1"/>
    <xf numFmtId="0" fontId="26" fillId="2" borderId="2" xfId="12" applyFont="1" applyFill="1" applyBorder="1" applyAlignment="1">
      <alignment vertical="top"/>
    </xf>
    <xf numFmtId="0" fontId="25" fillId="2" borderId="2" xfId="12" applyFont="1" applyFill="1" applyBorder="1" applyAlignment="1">
      <alignment horizontal="right" vertical="top"/>
    </xf>
    <xf numFmtId="0" fontId="25" fillId="2" borderId="2" xfId="12" applyFont="1" applyFill="1" applyBorder="1" applyAlignment="1">
      <alignment vertical="top"/>
    </xf>
    <xf numFmtId="2" fontId="22" fillId="0" borderId="0" xfId="12" applyNumberFormat="1" applyFont="1"/>
    <xf numFmtId="4" fontId="22" fillId="0" borderId="0" xfId="13" applyNumberFormat="1" applyFont="1"/>
    <xf numFmtId="0" fontId="22" fillId="0" borderId="1" xfId="12" applyFont="1" applyBorder="1"/>
    <xf numFmtId="2" fontId="22" fillId="0" borderId="1" xfId="12" applyNumberFormat="1" applyFont="1" applyBorder="1"/>
    <xf numFmtId="4" fontId="22" fillId="0" borderId="1" xfId="13" applyNumberFormat="1" applyFont="1" applyBorder="1"/>
    <xf numFmtId="165" fontId="22" fillId="0" borderId="0" xfId="14" applyNumberFormat="1" applyFont="1"/>
    <xf numFmtId="2" fontId="22" fillId="0" borderId="0" xfId="13" applyNumberFormat="1" applyFont="1" applyBorder="1"/>
    <xf numFmtId="0" fontId="24" fillId="0" borderId="1" xfId="12" applyFont="1" applyBorder="1"/>
    <xf numFmtId="2" fontId="22" fillId="0" borderId="1" xfId="14" applyNumberFormat="1" applyFont="1" applyFill="1" applyBorder="1"/>
    <xf numFmtId="7" fontId="24" fillId="0" borderId="1" xfId="14" applyNumberFormat="1" applyFont="1" applyFill="1" applyBorder="1"/>
    <xf numFmtId="0" fontId="24" fillId="0" borderId="2" xfId="12" applyFont="1" applyBorder="1"/>
    <xf numFmtId="0" fontId="22" fillId="0" borderId="2" xfId="12" applyFont="1" applyBorder="1"/>
    <xf numFmtId="7" fontId="24" fillId="0" borderId="2" xfId="14" applyNumberFormat="1" applyFont="1" applyFill="1" applyBorder="1"/>
    <xf numFmtId="2" fontId="22" fillId="0" borderId="0" xfId="0" applyNumberFormat="1" applyFont="1"/>
    <xf numFmtId="2" fontId="22" fillId="0" borderId="0" xfId="0" applyNumberFormat="1" applyFont="1" applyAlignment="1">
      <alignment horizontal="right"/>
    </xf>
    <xf numFmtId="2" fontId="22" fillId="0" borderId="1" xfId="0" applyNumberFormat="1" applyFont="1" applyBorder="1"/>
    <xf numFmtId="2" fontId="22" fillId="0" borderId="1" xfId="0" applyNumberFormat="1" applyFont="1" applyBorder="1" applyAlignment="1">
      <alignment horizontal="right"/>
    </xf>
    <xf numFmtId="2" fontId="22" fillId="0" borderId="2" xfId="12" applyNumberFormat="1" applyFont="1" applyBorder="1"/>
    <xf numFmtId="0" fontId="29" fillId="0" borderId="0" xfId="0" applyFont="1"/>
    <xf numFmtId="0" fontId="13" fillId="0" borderId="0" xfId="0" applyFont="1"/>
    <xf numFmtId="7" fontId="24" fillId="0" borderId="0" xfId="14" applyNumberFormat="1" applyFont="1" applyFill="1" applyBorder="1"/>
    <xf numFmtId="0" fontId="26" fillId="2" borderId="2" xfId="12" applyFont="1" applyFill="1" applyBorder="1" applyAlignment="1">
      <alignment horizontal="right" vertical="top"/>
    </xf>
    <xf numFmtId="0" fontId="26" fillId="0" borderId="2" xfId="12" applyFont="1" applyBorder="1" applyAlignment="1">
      <alignment vertical="top"/>
    </xf>
    <xf numFmtId="0" fontId="25" fillId="0" borderId="2" xfId="12" applyFont="1" applyBorder="1" applyAlignment="1">
      <alignment horizontal="right" vertical="top"/>
    </xf>
    <xf numFmtId="0" fontId="25" fillId="0" borderId="2" xfId="12" applyFont="1" applyBorder="1" applyAlignment="1">
      <alignment vertical="top"/>
    </xf>
    <xf numFmtId="0" fontId="24" fillId="0" borderId="0" xfId="12" applyFont="1" applyAlignment="1">
      <alignment vertical="top"/>
    </xf>
    <xf numFmtId="0" fontId="26" fillId="0" borderId="0" xfId="12" applyFont="1" applyAlignment="1">
      <alignment vertical="top"/>
    </xf>
    <xf numFmtId="7" fontId="26" fillId="0" borderId="2" xfId="12" applyNumberFormat="1" applyFont="1" applyBorder="1" applyAlignment="1">
      <alignment horizontal="right" vertical="top"/>
    </xf>
    <xf numFmtId="0" fontId="31" fillId="0" borderId="0" xfId="12" applyFont="1"/>
    <xf numFmtId="0" fontId="22" fillId="0" borderId="0" xfId="12" applyFont="1" applyAlignment="1">
      <alignment horizontal="right"/>
    </xf>
    <xf numFmtId="0" fontId="32" fillId="0" borderId="0" xfId="0" applyFont="1"/>
    <xf numFmtId="0" fontId="24" fillId="3" borderId="2" xfId="12" applyFont="1" applyFill="1" applyBorder="1"/>
    <xf numFmtId="2" fontId="22" fillId="3" borderId="2" xfId="12" applyNumberFormat="1" applyFont="1" applyFill="1" applyBorder="1"/>
    <xf numFmtId="7" fontId="24" fillId="3" borderId="2" xfId="14" applyNumberFormat="1" applyFont="1" applyFill="1" applyBorder="1"/>
    <xf numFmtId="0" fontId="33" fillId="0" borderId="0" xfId="0" applyFont="1"/>
    <xf numFmtId="0" fontId="34" fillId="0" borderId="0" xfId="0" applyFont="1"/>
    <xf numFmtId="0" fontId="35" fillId="0" borderId="0" xfId="15" applyFont="1"/>
    <xf numFmtId="164" fontId="6" fillId="0" borderId="0" xfId="0" applyNumberFormat="1" applyFont="1"/>
    <xf numFmtId="14" fontId="6" fillId="0" borderId="0" xfId="0" quotePrefix="1" applyNumberFormat="1" applyFont="1" applyAlignment="1">
      <alignment horizontal="right"/>
    </xf>
    <xf numFmtId="0" fontId="6" fillId="0" borderId="0" xfId="0" applyFont="1" applyAlignment="1">
      <alignment horizontal="left"/>
    </xf>
    <xf numFmtId="14" fontId="6" fillId="0" borderId="1" xfId="0" applyNumberFormat="1" applyFont="1" applyBorder="1"/>
    <xf numFmtId="0" fontId="6" fillId="0" borderId="0" xfId="0" applyFont="1" applyAlignment="1">
      <alignment horizontal="center"/>
    </xf>
    <xf numFmtId="8" fontId="9" fillId="0" borderId="0" xfId="0" applyNumberFormat="1" applyFont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5" fontId="6" fillId="0" borderId="0" xfId="0" applyNumberFormat="1" applyFont="1"/>
    <xf numFmtId="10" fontId="6" fillId="0" borderId="0" xfId="1" applyNumberFormat="1" applyFont="1" applyFill="1" applyAlignment="1">
      <alignment horizontal="center"/>
    </xf>
    <xf numFmtId="165" fontId="6" fillId="0" borderId="1" xfId="0" applyNumberFormat="1" applyFont="1" applyBorder="1"/>
    <xf numFmtId="4" fontId="6" fillId="0" borderId="1" xfId="0" applyNumberFormat="1" applyFont="1" applyBorder="1"/>
    <xf numFmtId="0" fontId="36" fillId="0" borderId="0" xfId="0" applyFont="1" applyAlignment="1">
      <alignment horizontal="center"/>
    </xf>
    <xf numFmtId="165" fontId="9" fillId="0" borderId="0" xfId="0" applyNumberFormat="1" applyFont="1"/>
    <xf numFmtId="0" fontId="9" fillId="0" borderId="0" xfId="0" applyFont="1" applyAlignment="1">
      <alignment wrapText="1"/>
    </xf>
    <xf numFmtId="0" fontId="30" fillId="0" borderId="0" xfId="15"/>
    <xf numFmtId="166" fontId="18" fillId="0" borderId="0" xfId="6" applyNumberFormat="1" applyFont="1" applyAlignment="1"/>
    <xf numFmtId="164" fontId="22" fillId="0" borderId="0" xfId="12" applyNumberFormat="1" applyFont="1" applyAlignment="1">
      <alignment horizontal="right"/>
    </xf>
    <xf numFmtId="17" fontId="0" fillId="0" borderId="0" xfId="0" applyNumberFormat="1"/>
    <xf numFmtId="43" fontId="0" fillId="0" borderId="0" xfId="19" applyFont="1"/>
    <xf numFmtId="165" fontId="41" fillId="0" borderId="0" xfId="0" applyNumberFormat="1" applyFont="1"/>
    <xf numFmtId="8" fontId="0" fillId="0" borderId="0" xfId="19" applyNumberFormat="1" applyFont="1"/>
    <xf numFmtId="165" fontId="42" fillId="0" borderId="0" xfId="0" applyNumberFormat="1" applyFont="1"/>
    <xf numFmtId="10" fontId="6" fillId="0" borderId="0" xfId="1" applyNumberFormat="1" applyFont="1"/>
    <xf numFmtId="10" fontId="41" fillId="0" borderId="0" xfId="1" applyNumberFormat="1" applyFont="1" applyFill="1" applyAlignment="1">
      <alignment horizontal="center"/>
    </xf>
    <xf numFmtId="0" fontId="1" fillId="0" borderId="0" xfId="12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4" fillId="3" borderId="2" xfId="12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165" fontId="10" fillId="0" borderId="0" xfId="0" applyNumberFormat="1" applyFont="1"/>
  </cellXfs>
  <cellStyles count="20">
    <cellStyle name="Comma" xfId="19" builtinId="3"/>
    <cellStyle name="Comma 2" xfId="7" xr:uid="{00000000-0005-0000-0000-000000000000}"/>
    <cellStyle name="Comma 3" xfId="13" xr:uid="{00000000-0005-0000-0000-000001000000}"/>
    <cellStyle name="Comma 3 2" xfId="17" xr:uid="{00000000-0005-0000-0000-000002000000}"/>
    <cellStyle name="Currency 2" xfId="6" xr:uid="{00000000-0005-0000-0000-000003000000}"/>
    <cellStyle name="Currency 3" xfId="8" xr:uid="{00000000-0005-0000-0000-000004000000}"/>
    <cellStyle name="Currency 4" xfId="14" xr:uid="{00000000-0005-0000-0000-000005000000}"/>
    <cellStyle name="Currency 4 2" xfId="18" xr:uid="{00000000-0005-0000-0000-000006000000}"/>
    <cellStyle name="Hyperlink" xfId="15" builtinId="8"/>
    <cellStyle name="Hyperlink 2" xfId="9" xr:uid="{00000000-0005-0000-0000-000008000000}"/>
    <cellStyle name="Normal" xfId="0" builtinId="0"/>
    <cellStyle name="Normal 2" xfId="2" xr:uid="{00000000-0005-0000-0000-00000A000000}"/>
    <cellStyle name="Normal 2 2" xfId="10" xr:uid="{00000000-0005-0000-0000-00000B000000}"/>
    <cellStyle name="Normal 3" xfId="3" xr:uid="{00000000-0005-0000-0000-00000C000000}"/>
    <cellStyle name="Normal 4" xfId="4" xr:uid="{00000000-0005-0000-0000-00000D000000}"/>
    <cellStyle name="Normal 5" xfId="11" xr:uid="{00000000-0005-0000-0000-00000E000000}"/>
    <cellStyle name="Normal 6" xfId="12" xr:uid="{00000000-0005-0000-0000-00000F000000}"/>
    <cellStyle name="Normal 6 2" xfId="16" xr:uid="{00000000-0005-0000-0000-000010000000}"/>
    <cellStyle name="Percent" xfId="1" builtinId="5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105</xdr:row>
      <xdr:rowOff>76200</xdr:rowOff>
    </xdr:from>
    <xdr:to>
      <xdr:col>16</xdr:col>
      <xdr:colOff>266700</xdr:colOff>
      <xdr:row>109</xdr:row>
      <xdr:rowOff>104775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ShapeType="1"/>
        </xdr:cNvSpPr>
      </xdr:nvSpPr>
      <xdr:spPr bwMode="auto">
        <a:xfrm>
          <a:off x="11391900" y="16583025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104775</xdr:colOff>
      <xdr:row>106</xdr:row>
      <xdr:rowOff>76200</xdr:rowOff>
    </xdr:from>
    <xdr:to>
      <xdr:col>20</xdr:col>
      <xdr:colOff>104775</xdr:colOff>
      <xdr:row>110</xdr:row>
      <xdr:rowOff>104775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ShapeType="1"/>
        </xdr:cNvSpPr>
      </xdr:nvSpPr>
      <xdr:spPr bwMode="auto">
        <a:xfrm>
          <a:off x="13668375" y="16744950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104775</xdr:colOff>
      <xdr:row>103</xdr:row>
      <xdr:rowOff>38100</xdr:rowOff>
    </xdr:from>
    <xdr:to>
      <xdr:col>20</xdr:col>
      <xdr:colOff>104775</xdr:colOff>
      <xdr:row>107</xdr:row>
      <xdr:rowOff>66675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ShapeType="1"/>
        </xdr:cNvSpPr>
      </xdr:nvSpPr>
      <xdr:spPr bwMode="auto">
        <a:xfrm>
          <a:off x="13668375" y="16297275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8468</xdr:colOff>
      <xdr:row>0</xdr:row>
      <xdr:rowOff>16933</xdr:rowOff>
    </xdr:from>
    <xdr:to>
      <xdr:col>1</xdr:col>
      <xdr:colOff>1515534</xdr:colOff>
      <xdr:row>3</xdr:row>
      <xdr:rowOff>2821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C59F7-7863-6BF0-23B6-1D4468E8A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268" y="16933"/>
          <a:ext cx="1507066" cy="502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B2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137.33203125" customWidth="1"/>
  </cols>
  <sheetData>
    <row r="1" spans="1:2" ht="43.5" customHeight="1" x14ac:dyDescent="0.55000000000000004">
      <c r="A1" s="81" t="s">
        <v>56</v>
      </c>
      <c r="B1" s="13"/>
    </row>
    <row r="2" spans="1:2" ht="59" x14ac:dyDescent="0.55000000000000004">
      <c r="A2" s="81" t="s">
        <v>47</v>
      </c>
      <c r="B2" s="13"/>
    </row>
  </sheetData>
  <pageMargins left="0.7" right="0.7" top="3" bottom="0.75" header="0.3" footer="0.3"/>
  <pageSetup orientation="portrait" r:id="rId1"/>
  <rowBreaks count="1" manualBreakCount="1">
    <brk id="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2:E62"/>
  <sheetViews>
    <sheetView topLeftCell="A39" zoomScale="120" zoomScaleNormal="120" workbookViewId="0">
      <selection activeCell="B54" sqref="A52:B54"/>
    </sheetView>
  </sheetViews>
  <sheetFormatPr baseColWidth="10" defaultColWidth="8.83203125" defaultRowHeight="15" x14ac:dyDescent="0.2"/>
  <cols>
    <col min="1" max="1" width="16.83203125" style="66" customWidth="1"/>
    <col min="2" max="2" width="44.5" style="66" customWidth="1"/>
    <col min="3" max="4" width="8.83203125" style="66"/>
    <col min="5" max="5" width="8.83203125" style="61"/>
  </cols>
  <sheetData>
    <row r="2" spans="1:5" x14ac:dyDescent="0.2">
      <c r="A2" s="65" t="s">
        <v>53</v>
      </c>
    </row>
    <row r="4" spans="1:5" x14ac:dyDescent="0.2">
      <c r="A4" s="65" t="s">
        <v>32</v>
      </c>
    </row>
    <row r="6" spans="1:5" x14ac:dyDescent="0.2">
      <c r="A6" s="66" t="s">
        <v>33</v>
      </c>
    </row>
    <row r="7" spans="1:5" s="66" customFormat="1" x14ac:dyDescent="0.2">
      <c r="A7" s="66" t="s">
        <v>57</v>
      </c>
      <c r="E7" s="61"/>
    </row>
    <row r="8" spans="1:5" s="66" customFormat="1" hidden="1" x14ac:dyDescent="0.2">
      <c r="E8" s="61"/>
    </row>
    <row r="9" spans="1:5" s="66" customFormat="1" hidden="1" x14ac:dyDescent="0.2">
      <c r="E9" s="61"/>
    </row>
    <row r="10" spans="1:5" s="66" customFormat="1" hidden="1" x14ac:dyDescent="0.2">
      <c r="E10" s="61"/>
    </row>
    <row r="11" spans="1:5" s="66" customFormat="1" hidden="1" x14ac:dyDescent="0.2">
      <c r="E11" s="61"/>
    </row>
    <row r="12" spans="1:5" s="66" customFormat="1" hidden="1" x14ac:dyDescent="0.2">
      <c r="E12" s="61"/>
    </row>
    <row r="13" spans="1:5" s="66" customFormat="1" hidden="1" x14ac:dyDescent="0.2">
      <c r="E13" s="61"/>
    </row>
    <row r="14" spans="1:5" s="66" customFormat="1" hidden="1" x14ac:dyDescent="0.2">
      <c r="E14" s="61"/>
    </row>
    <row r="15" spans="1:5" s="66" customFormat="1" hidden="1" x14ac:dyDescent="0.2">
      <c r="E15" s="61"/>
    </row>
    <row r="16" spans="1:5" s="66" customFormat="1" hidden="1" x14ac:dyDescent="0.2">
      <c r="E16" s="61"/>
    </row>
    <row r="17" spans="1:5" s="66" customFormat="1" hidden="1" x14ac:dyDescent="0.2">
      <c r="E17" s="61"/>
    </row>
    <row r="18" spans="1:5" s="66" customFormat="1" hidden="1" x14ac:dyDescent="0.2">
      <c r="E18" s="61"/>
    </row>
    <row r="19" spans="1:5" s="66" customFormat="1" hidden="1" x14ac:dyDescent="0.2">
      <c r="E19" s="61"/>
    </row>
    <row r="20" spans="1:5" s="66" customFormat="1" hidden="1" x14ac:dyDescent="0.2">
      <c r="E20" s="61"/>
    </row>
    <row r="21" spans="1:5" s="66" customFormat="1" hidden="1" x14ac:dyDescent="0.2">
      <c r="E21" s="61"/>
    </row>
    <row r="22" spans="1:5" s="66" customFormat="1" hidden="1" x14ac:dyDescent="0.2">
      <c r="E22" s="61"/>
    </row>
    <row r="23" spans="1:5" s="66" customFormat="1" hidden="1" x14ac:dyDescent="0.2">
      <c r="E23" s="61"/>
    </row>
    <row r="24" spans="1:5" s="66" customFormat="1" x14ac:dyDescent="0.2">
      <c r="A24" s="66" t="s">
        <v>58</v>
      </c>
      <c r="E24" s="61"/>
    </row>
    <row r="25" spans="1:5" s="66" customFormat="1" x14ac:dyDescent="0.2">
      <c r="A25" s="66" t="s">
        <v>59</v>
      </c>
      <c r="E25" s="61"/>
    </row>
    <row r="26" spans="1:5" s="66" customFormat="1" x14ac:dyDescent="0.2">
      <c r="A26" s="66" t="s">
        <v>44</v>
      </c>
      <c r="E26" s="61"/>
    </row>
    <row r="27" spans="1:5" s="66" customFormat="1" x14ac:dyDescent="0.2">
      <c r="A27" s="66" t="s">
        <v>50</v>
      </c>
      <c r="E27" s="61"/>
    </row>
    <row r="28" spans="1:5" s="66" customFormat="1" x14ac:dyDescent="0.2">
      <c r="E28" s="61"/>
    </row>
    <row r="29" spans="1:5" s="66" customFormat="1" x14ac:dyDescent="0.2">
      <c r="A29" s="65"/>
      <c r="E29" s="61"/>
    </row>
    <row r="30" spans="1:5" s="66" customFormat="1" x14ac:dyDescent="0.2">
      <c r="A30" s="65" t="s">
        <v>45</v>
      </c>
      <c r="E30" s="61"/>
    </row>
    <row r="32" spans="1:5" s="66" customFormat="1" x14ac:dyDescent="0.2">
      <c r="A32" s="65" t="s">
        <v>7</v>
      </c>
      <c r="E32" s="61"/>
    </row>
    <row r="34" spans="1:5" s="66" customFormat="1" x14ac:dyDescent="0.2">
      <c r="A34" s="66" t="s">
        <v>60</v>
      </c>
      <c r="E34" s="61"/>
    </row>
    <row r="35" spans="1:5" s="66" customFormat="1" x14ac:dyDescent="0.2">
      <c r="A35" s="66" t="s">
        <v>34</v>
      </c>
      <c r="E35" s="61"/>
    </row>
    <row r="36" spans="1:5" s="66" customFormat="1" x14ac:dyDescent="0.2">
      <c r="A36" s="66" t="s">
        <v>61</v>
      </c>
      <c r="E36" s="61"/>
    </row>
    <row r="37" spans="1:5" s="66" customFormat="1" x14ac:dyDescent="0.2">
      <c r="A37" s="66" t="s">
        <v>46</v>
      </c>
      <c r="E37" s="61"/>
    </row>
    <row r="38" spans="1:5" s="66" customFormat="1" x14ac:dyDescent="0.2">
      <c r="A38" s="66" t="s">
        <v>51</v>
      </c>
      <c r="E38" s="61"/>
    </row>
    <row r="39" spans="1:5" s="66" customFormat="1" x14ac:dyDescent="0.2">
      <c r="E39" s="61"/>
    </row>
    <row r="40" spans="1:5" s="66" customFormat="1" x14ac:dyDescent="0.2">
      <c r="A40" s="65"/>
      <c r="E40" s="61"/>
    </row>
    <row r="41" spans="1:5" s="66" customFormat="1" ht="12" customHeight="1" x14ac:dyDescent="0.2">
      <c r="E41" s="61"/>
    </row>
    <row r="42" spans="1:5" s="66" customFormat="1" ht="12" customHeight="1" x14ac:dyDescent="0.2">
      <c r="A42" s="65" t="s">
        <v>36</v>
      </c>
      <c r="E42" s="61"/>
    </row>
    <row r="43" spans="1:5" s="66" customFormat="1" ht="12" customHeight="1" x14ac:dyDescent="0.2">
      <c r="A43" s="66">
        <v>1</v>
      </c>
      <c r="B43" s="66" t="s">
        <v>21</v>
      </c>
      <c r="E43" s="61"/>
    </row>
    <row r="44" spans="1:5" s="66" customFormat="1" ht="12" customHeight="1" x14ac:dyDescent="0.2">
      <c r="A44" s="66">
        <v>2</v>
      </c>
      <c r="B44" s="66" t="s">
        <v>52</v>
      </c>
      <c r="E44" s="61"/>
    </row>
    <row r="45" spans="1:5" s="66" customFormat="1" ht="12" customHeight="1" x14ac:dyDescent="0.2">
      <c r="A45" s="66">
        <v>3</v>
      </c>
      <c r="B45" s="66" t="s">
        <v>37</v>
      </c>
      <c r="E45" s="61"/>
    </row>
    <row r="46" spans="1:5" s="66" customFormat="1" ht="12" customHeight="1" x14ac:dyDescent="0.2">
      <c r="A46" s="66">
        <v>4</v>
      </c>
      <c r="B46" s="66" t="s">
        <v>38</v>
      </c>
      <c r="E46" s="61"/>
    </row>
    <row r="47" spans="1:5" s="66" customFormat="1" ht="12" customHeight="1" x14ac:dyDescent="0.2">
      <c r="E47" s="61"/>
    </row>
    <row r="49" spans="1:5" s="66" customFormat="1" x14ac:dyDescent="0.2">
      <c r="A49" s="66" t="s">
        <v>40</v>
      </c>
      <c r="E49" s="61"/>
    </row>
    <row r="51" spans="1:5" s="66" customFormat="1" x14ac:dyDescent="0.2">
      <c r="A51" s="67"/>
      <c r="E51" s="61"/>
    </row>
    <row r="52" spans="1:5" s="66" customFormat="1" x14ac:dyDescent="0.2">
      <c r="E52" s="61"/>
    </row>
    <row r="53" spans="1:5" s="66" customFormat="1" x14ac:dyDescent="0.2">
      <c r="E53" s="61"/>
    </row>
    <row r="54" spans="1:5" s="66" customFormat="1" x14ac:dyDescent="0.2">
      <c r="E54" s="61"/>
    </row>
    <row r="57" spans="1:5" s="66" customFormat="1" x14ac:dyDescent="0.2">
      <c r="A57" s="65"/>
      <c r="E57" s="61"/>
    </row>
    <row r="58" spans="1:5" s="66" customFormat="1" x14ac:dyDescent="0.2">
      <c r="A58" s="65"/>
      <c r="E58" s="61"/>
    </row>
    <row r="59" spans="1:5" s="66" customFormat="1" x14ac:dyDescent="0.2">
      <c r="A59" s="65"/>
      <c r="B59" s="84"/>
      <c r="E59" s="61"/>
    </row>
    <row r="60" spans="1:5" x14ac:dyDescent="0.2">
      <c r="B60" s="84"/>
    </row>
    <row r="61" spans="1:5" x14ac:dyDescent="0.2">
      <c r="B61" s="84"/>
    </row>
    <row r="62" spans="1:5" x14ac:dyDescent="0.2">
      <c r="B62" s="8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L54"/>
  <sheetViews>
    <sheetView tabSelected="1" topLeftCell="A11" zoomScale="189" zoomScaleNormal="150" zoomScaleSheetLayoutView="100" workbookViewId="0">
      <selection activeCell="B21" sqref="B21"/>
    </sheetView>
  </sheetViews>
  <sheetFormatPr baseColWidth="10" defaultColWidth="9.1640625" defaultRowHeight="11" x14ac:dyDescent="0.15"/>
  <cols>
    <col min="1" max="1" width="4" style="1" customWidth="1"/>
    <col min="2" max="2" width="26" style="1" customWidth="1"/>
    <col min="3" max="4" width="10.33203125" style="1" customWidth="1"/>
    <col min="5" max="5" width="9.1640625" style="1" customWidth="1"/>
    <col min="6" max="6" width="10.5" style="1" customWidth="1"/>
    <col min="7" max="7" width="12.33203125" style="1" bestFit="1" customWidth="1"/>
    <col min="8" max="8" width="7.1640625" style="1" customWidth="1"/>
    <col min="9" max="9" width="7.5" style="1" customWidth="1"/>
    <col min="10" max="16384" width="9.1640625" style="1"/>
  </cols>
  <sheetData>
    <row r="1" spans="1:9" ht="16" x14ac:dyDescent="0.2">
      <c r="A1" s="5"/>
      <c r="B1" s="50"/>
      <c r="C1" s="3"/>
      <c r="D1" s="3"/>
      <c r="E1" s="3"/>
      <c r="F1" s="6"/>
      <c r="G1" s="3"/>
      <c r="H1" s="3"/>
      <c r="I1" s="3"/>
    </row>
    <row r="2" spans="1:9" x14ac:dyDescent="0.15">
      <c r="A2" s="5"/>
      <c r="B2" s="3" t="s">
        <v>55</v>
      </c>
      <c r="C2" s="3"/>
      <c r="E2" s="3"/>
      <c r="F2" s="6"/>
      <c r="G2" s="3"/>
      <c r="H2" s="3"/>
      <c r="I2" s="3"/>
    </row>
    <row r="3" spans="1:9" ht="13.5" customHeight="1" x14ac:dyDescent="0.15">
      <c r="A3" s="5"/>
      <c r="B3" s="3"/>
      <c r="C3" s="3"/>
      <c r="E3" s="3"/>
      <c r="F3" s="6"/>
      <c r="G3" s="3"/>
      <c r="H3" s="3"/>
      <c r="I3" s="3"/>
    </row>
    <row r="4" spans="1:9" ht="13.5" customHeight="1" x14ac:dyDescent="0.15">
      <c r="A4" s="5"/>
      <c r="B4" s="3" t="s">
        <v>72</v>
      </c>
      <c r="C4" s="3"/>
      <c r="D4" s="3"/>
      <c r="E4" s="3"/>
      <c r="F4" s="3"/>
      <c r="G4" s="3"/>
      <c r="H4" s="3"/>
      <c r="I4" s="3"/>
    </row>
    <row r="5" spans="1:9" x14ac:dyDescent="0.15">
      <c r="A5" s="7"/>
      <c r="B5" s="3" t="s">
        <v>73</v>
      </c>
      <c r="C5" s="3"/>
      <c r="D5" s="3"/>
      <c r="E5" s="3"/>
      <c r="F5" s="3"/>
      <c r="G5" s="3"/>
      <c r="H5" s="3"/>
      <c r="I5" s="3"/>
    </row>
    <row r="6" spans="1:9" x14ac:dyDescent="0.15">
      <c r="A6" s="7"/>
      <c r="B6" s="3" t="s">
        <v>74</v>
      </c>
      <c r="C6" s="3"/>
      <c r="D6" s="3"/>
      <c r="E6" s="3"/>
      <c r="F6" s="3"/>
      <c r="G6" s="3"/>
      <c r="H6" s="3"/>
      <c r="I6" s="3"/>
    </row>
    <row r="7" spans="1:9" x14ac:dyDescent="0.15">
      <c r="A7" s="3"/>
      <c r="B7" s="3"/>
      <c r="C7" s="3"/>
      <c r="D7" s="3"/>
      <c r="E7" s="3"/>
      <c r="F7" s="3"/>
      <c r="G7" s="3"/>
      <c r="H7" s="3"/>
      <c r="I7" s="3"/>
    </row>
    <row r="8" spans="1:9" ht="11.25" customHeight="1" x14ac:dyDescent="0.15">
      <c r="A8" s="3"/>
      <c r="B8" s="3"/>
      <c r="C8" s="3"/>
      <c r="D8" s="3"/>
      <c r="E8" s="3"/>
      <c r="F8" s="3"/>
      <c r="G8" s="3"/>
      <c r="H8" s="3"/>
      <c r="I8" s="3"/>
    </row>
    <row r="9" spans="1:9" ht="11.25" customHeight="1" x14ac:dyDescent="0.15">
      <c r="A9" s="3" t="s">
        <v>25</v>
      </c>
      <c r="B9" s="3"/>
      <c r="C9" s="3"/>
      <c r="D9" s="3"/>
      <c r="E9" s="3"/>
      <c r="F9" s="3"/>
      <c r="G9" s="3"/>
      <c r="H9" s="3"/>
      <c r="I9" s="3"/>
    </row>
    <row r="10" spans="1:9" ht="11.25" customHeight="1" x14ac:dyDescent="0.15">
      <c r="A10" s="3"/>
      <c r="B10" s="3"/>
      <c r="C10" s="3"/>
      <c r="D10" s="3"/>
      <c r="E10" s="3"/>
      <c r="F10" s="3"/>
      <c r="G10" s="3"/>
      <c r="H10" s="3"/>
      <c r="I10" s="3"/>
    </row>
    <row r="11" spans="1:9" ht="11.25" customHeight="1" x14ac:dyDescent="0.15">
      <c r="A11" s="7" t="s">
        <v>84</v>
      </c>
      <c r="B11" s="3"/>
      <c r="C11" s="3"/>
      <c r="D11" s="3"/>
      <c r="F11" s="68" t="s">
        <v>0</v>
      </c>
      <c r="G11" s="69" t="s">
        <v>100</v>
      </c>
      <c r="H11" s="3"/>
      <c r="I11" s="3"/>
    </row>
    <row r="12" spans="1:9" ht="11.25" customHeight="1" x14ac:dyDescent="0.15">
      <c r="A12" s="7" t="s">
        <v>85</v>
      </c>
      <c r="B12" s="3"/>
      <c r="C12" s="3"/>
      <c r="D12" s="3"/>
      <c r="F12" s="3" t="s">
        <v>22</v>
      </c>
      <c r="G12" s="3" t="s">
        <v>101</v>
      </c>
      <c r="H12" s="3"/>
      <c r="I12" s="3"/>
    </row>
    <row r="13" spans="1:9" ht="11.25" customHeight="1" x14ac:dyDescent="0.15">
      <c r="A13" s="7" t="s">
        <v>86</v>
      </c>
      <c r="B13" s="3"/>
      <c r="C13" s="3"/>
      <c r="D13" s="3"/>
      <c r="E13" s="3"/>
      <c r="F13" s="3"/>
      <c r="G13" s="3"/>
      <c r="H13" s="3"/>
      <c r="I13" s="3"/>
    </row>
    <row r="14" spans="1:9" ht="11.25" customHeight="1" x14ac:dyDescent="0.15">
      <c r="A14" s="7"/>
      <c r="B14" s="3"/>
      <c r="C14" s="3"/>
      <c r="D14" s="3"/>
      <c r="E14" s="3"/>
      <c r="F14" s="3"/>
      <c r="G14" s="3"/>
      <c r="H14" s="3"/>
      <c r="I14" s="3"/>
    </row>
    <row r="15" spans="1:9" ht="11.25" customHeight="1" x14ac:dyDescent="0.15">
      <c r="A15" s="3"/>
      <c r="B15" s="3"/>
      <c r="C15" s="3"/>
      <c r="D15" s="3"/>
      <c r="E15" s="3"/>
      <c r="G15" s="3"/>
      <c r="H15" s="3"/>
      <c r="I15" s="3"/>
    </row>
    <row r="16" spans="1:9" ht="11.25" customHeight="1" x14ac:dyDescent="0.15">
      <c r="B16" s="3" t="s">
        <v>95</v>
      </c>
      <c r="C16" s="3"/>
      <c r="D16" s="3"/>
      <c r="E16" s="3"/>
      <c r="F16" s="3"/>
      <c r="G16" s="3"/>
      <c r="H16" s="3"/>
      <c r="I16" s="3"/>
    </row>
    <row r="17" spans="1:12" ht="11.25" customHeight="1" x14ac:dyDescent="0.15">
      <c r="B17" s="3" t="s">
        <v>94</v>
      </c>
      <c r="C17" s="3"/>
      <c r="D17" s="3"/>
      <c r="E17" s="3"/>
      <c r="G17" s="70"/>
      <c r="H17" s="3"/>
      <c r="I17" s="3"/>
    </row>
    <row r="18" spans="1:12" ht="11.25" customHeight="1" x14ac:dyDescent="0.15">
      <c r="A18" s="3"/>
      <c r="B18" s="2"/>
      <c r="C18" s="2"/>
      <c r="D18" s="2"/>
      <c r="E18" s="2"/>
      <c r="F18" s="2"/>
      <c r="G18" s="2"/>
      <c r="H18" s="2"/>
      <c r="I18" s="2"/>
    </row>
    <row r="19" spans="1:12" ht="11.25" customHeight="1" x14ac:dyDescent="0.15">
      <c r="A19" s="3"/>
      <c r="B19" s="3"/>
      <c r="C19" s="3"/>
      <c r="D19" s="3"/>
      <c r="E19" s="3"/>
      <c r="F19" s="3"/>
      <c r="G19" s="3"/>
      <c r="H19" s="3"/>
      <c r="I19" s="3"/>
    </row>
    <row r="20" spans="1:12" ht="11.25" customHeight="1" x14ac:dyDescent="0.15">
      <c r="B20" s="3" t="s">
        <v>17</v>
      </c>
      <c r="C20" s="71">
        <v>45680</v>
      </c>
      <c r="D20" s="72" t="s">
        <v>8</v>
      </c>
      <c r="E20" s="71">
        <v>46072</v>
      </c>
      <c r="F20" s="3"/>
      <c r="G20" s="3"/>
      <c r="H20" s="3"/>
      <c r="I20" s="3"/>
    </row>
    <row r="21" spans="1:12" ht="11.25" customHeight="1" x14ac:dyDescent="0.15">
      <c r="A21" s="3"/>
      <c r="B21" s="3"/>
      <c r="C21" s="3"/>
      <c r="D21" s="3"/>
      <c r="E21" s="3"/>
      <c r="F21" s="3"/>
      <c r="G21" s="3"/>
      <c r="H21" s="3"/>
      <c r="I21" s="3"/>
    </row>
    <row r="22" spans="1:12" ht="11.25" customHeight="1" x14ac:dyDescent="0.15">
      <c r="A22" s="3"/>
      <c r="B22" s="3" t="s">
        <v>9</v>
      </c>
      <c r="C22" s="3"/>
      <c r="D22" s="73">
        <f>D34</f>
        <v>12201.21</v>
      </c>
      <c r="E22" s="3"/>
      <c r="F22" s="3"/>
      <c r="G22" s="3"/>
      <c r="H22" s="3"/>
      <c r="I22" s="3"/>
    </row>
    <row r="23" spans="1:12" ht="11.25" customHeight="1" x14ac:dyDescent="0.15">
      <c r="A23" s="3"/>
      <c r="E23" s="3"/>
      <c r="F23" s="3"/>
      <c r="G23" s="3"/>
      <c r="H23" s="95" t="s">
        <v>15</v>
      </c>
      <c r="I23" s="95"/>
    </row>
    <row r="24" spans="1:12" ht="11.25" customHeight="1" x14ac:dyDescent="0.15">
      <c r="A24" s="3"/>
      <c r="B24" s="3"/>
      <c r="C24" s="74" t="s">
        <v>2</v>
      </c>
      <c r="D24" s="74" t="s">
        <v>1</v>
      </c>
      <c r="E24" s="74" t="s">
        <v>2</v>
      </c>
      <c r="F24" s="72" t="s">
        <v>88</v>
      </c>
      <c r="G24" s="72" t="s">
        <v>13</v>
      </c>
      <c r="H24" s="72" t="s">
        <v>19</v>
      </c>
      <c r="I24" s="72" t="s">
        <v>8</v>
      </c>
    </row>
    <row r="25" spans="1:12" ht="11.25" customHeight="1" x14ac:dyDescent="0.15">
      <c r="A25" s="96" t="s">
        <v>3</v>
      </c>
      <c r="B25" s="96"/>
      <c r="C25" s="75" t="s">
        <v>18</v>
      </c>
      <c r="D25" s="75" t="s">
        <v>4</v>
      </c>
      <c r="E25" s="75" t="s">
        <v>5</v>
      </c>
      <c r="F25" s="76" t="s">
        <v>12</v>
      </c>
      <c r="G25" s="76" t="s">
        <v>14</v>
      </c>
      <c r="H25" s="76" t="s">
        <v>20</v>
      </c>
      <c r="I25" s="76" t="s">
        <v>16</v>
      </c>
    </row>
    <row r="26" spans="1:12" ht="11.25" customHeight="1" x14ac:dyDescent="0.15">
      <c r="A26" s="3" t="s">
        <v>63</v>
      </c>
      <c r="B26" s="3"/>
      <c r="C26" s="3"/>
      <c r="D26" s="3"/>
      <c r="E26" s="3"/>
      <c r="F26" s="3"/>
      <c r="G26" s="3"/>
      <c r="H26" s="72"/>
      <c r="I26" s="72"/>
    </row>
    <row r="27" spans="1:12" ht="24.75" customHeight="1" x14ac:dyDescent="0.15">
      <c r="A27" s="3">
        <v>3</v>
      </c>
      <c r="B27" s="83" t="s">
        <v>87</v>
      </c>
      <c r="C27" s="89">
        <f>C28+C29</f>
        <v>115308.98000000001</v>
      </c>
      <c r="D27" s="89">
        <f>'Invoice Template_Task# 5'!N38</f>
        <v>12201.21</v>
      </c>
      <c r="E27" s="89">
        <f>C27+D27</f>
        <v>127510.19</v>
      </c>
      <c r="F27" s="89">
        <f>SUM(F28:F31)</f>
        <v>211525.17000000004</v>
      </c>
      <c r="G27" s="89">
        <f>F27-E27</f>
        <v>84014.98000000004</v>
      </c>
      <c r="H27" s="93">
        <f>D27/F27</f>
        <v>5.7682071594600287E-2</v>
      </c>
      <c r="I27" s="93">
        <f>(E27/F27)</f>
        <v>0.60281332004129806</v>
      </c>
      <c r="J27" s="4"/>
      <c r="L27" s="12"/>
    </row>
    <row r="28" spans="1:12" ht="11.25" customHeight="1" x14ac:dyDescent="0.15">
      <c r="A28" s="3"/>
      <c r="B28" s="12" t="s">
        <v>93</v>
      </c>
      <c r="C28" s="77">
        <f>Prior!B12</f>
        <v>59019.060000000005</v>
      </c>
      <c r="D28" s="3">
        <v>0</v>
      </c>
      <c r="E28" s="77">
        <f>C28</f>
        <v>59019.060000000005</v>
      </c>
      <c r="F28" s="77">
        <v>62430.1</v>
      </c>
      <c r="G28" s="77">
        <f>F28-E28</f>
        <v>3411.0399999999936</v>
      </c>
      <c r="H28" s="78">
        <f t="shared" ref="H28:H31" si="0">D28/F28</f>
        <v>0</v>
      </c>
      <c r="I28" s="78">
        <f t="shared" ref="I28:I31" si="1">(E28/F28)</f>
        <v>0.94536225314391631</v>
      </c>
      <c r="J28" s="4"/>
      <c r="L28" s="12"/>
    </row>
    <row r="29" spans="1:12" ht="11.25" customHeight="1" x14ac:dyDescent="0.15">
      <c r="A29" s="3"/>
      <c r="B29" s="12" t="s">
        <v>97</v>
      </c>
      <c r="C29" s="77">
        <f>Prior!C12</f>
        <v>56289.919999999998</v>
      </c>
      <c r="D29" s="77">
        <f>'Invoice Template_Task# 5'!N21+'Invoice Template_Task# 5'!N28</f>
        <v>12201.21</v>
      </c>
      <c r="E29" s="91">
        <f>D29+C29</f>
        <v>68491.13</v>
      </c>
      <c r="F29" s="91">
        <v>75118.070000000007</v>
      </c>
      <c r="G29" s="77">
        <f t="shared" ref="G29:G31" si="2">F29-E29</f>
        <v>6626.9400000000023</v>
      </c>
      <c r="H29" s="78">
        <f t="shared" si="0"/>
        <v>0.16242709643631684</v>
      </c>
      <c r="I29" s="78">
        <f t="shared" si="1"/>
        <v>0.91177968230546924</v>
      </c>
      <c r="J29" s="4"/>
      <c r="L29" s="12"/>
    </row>
    <row r="30" spans="1:12" ht="11.25" customHeight="1" x14ac:dyDescent="0.15">
      <c r="A30" s="3"/>
      <c r="B30" s="12" t="s">
        <v>98</v>
      </c>
      <c r="C30" s="3">
        <v>0</v>
      </c>
      <c r="D30" s="77">
        <v>0</v>
      </c>
      <c r="E30" s="91">
        <v>0</v>
      </c>
      <c r="F30" s="91">
        <v>64614.55</v>
      </c>
      <c r="G30" s="77">
        <f t="shared" si="2"/>
        <v>64614.55</v>
      </c>
      <c r="H30" s="78">
        <f t="shared" si="0"/>
        <v>0</v>
      </c>
      <c r="I30" s="78">
        <f t="shared" si="1"/>
        <v>0</v>
      </c>
      <c r="J30" s="4"/>
      <c r="L30" s="12"/>
    </row>
    <row r="31" spans="1:12" ht="11.25" customHeight="1" x14ac:dyDescent="0.15">
      <c r="A31" s="3"/>
      <c r="B31" s="12" t="s">
        <v>99</v>
      </c>
      <c r="C31" s="3">
        <v>0</v>
      </c>
      <c r="D31" s="77">
        <v>0</v>
      </c>
      <c r="E31" s="91">
        <v>0</v>
      </c>
      <c r="F31" s="91">
        <v>9362.4500000000007</v>
      </c>
      <c r="G31" s="77">
        <f t="shared" si="2"/>
        <v>9362.4500000000007</v>
      </c>
      <c r="H31" s="78">
        <f t="shared" si="0"/>
        <v>0</v>
      </c>
      <c r="I31" s="78">
        <f t="shared" si="1"/>
        <v>0</v>
      </c>
      <c r="J31" s="4"/>
      <c r="L31" s="12"/>
    </row>
    <row r="32" spans="1:12" ht="11.25" customHeight="1" x14ac:dyDescent="0.15">
      <c r="A32" s="3"/>
      <c r="B32" s="12"/>
      <c r="D32" s="77"/>
      <c r="E32" s="91"/>
      <c r="F32" s="89"/>
      <c r="G32" s="89"/>
      <c r="H32" s="78"/>
      <c r="I32" s="78"/>
      <c r="J32" s="4"/>
      <c r="L32" s="12"/>
    </row>
    <row r="33" spans="1:12" ht="11.25" customHeight="1" x14ac:dyDescent="0.15">
      <c r="A33" s="3"/>
      <c r="C33" s="79"/>
      <c r="D33" s="79"/>
      <c r="E33" s="79"/>
      <c r="F33" s="79"/>
      <c r="G33" s="79"/>
      <c r="H33" s="80"/>
      <c r="I33" s="80"/>
      <c r="L33" s="3"/>
    </row>
    <row r="34" spans="1:12" ht="11.25" customHeight="1" x14ac:dyDescent="0.15">
      <c r="A34" s="3"/>
      <c r="B34" s="3" t="s">
        <v>6</v>
      </c>
      <c r="C34" s="77">
        <f>C28+C29</f>
        <v>115308.98000000001</v>
      </c>
      <c r="D34" s="82">
        <f>D29+D28</f>
        <v>12201.21</v>
      </c>
      <c r="E34" s="77">
        <f>SUM(E28:E29)</f>
        <v>127510.19</v>
      </c>
      <c r="F34" s="77">
        <f>SUM(F28:F31)</f>
        <v>211525.17000000004</v>
      </c>
      <c r="G34" s="77">
        <f>SUM(G28:G33)</f>
        <v>84014.98</v>
      </c>
      <c r="H34" s="78">
        <f>H27</f>
        <v>5.7682071594600287E-2</v>
      </c>
      <c r="I34" s="92">
        <f>I27</f>
        <v>0.60281332004129806</v>
      </c>
      <c r="J34" s="4"/>
      <c r="L34" s="3"/>
    </row>
    <row r="35" spans="1:12" ht="11.25" customHeight="1" x14ac:dyDescent="0.15">
      <c r="A35" s="3"/>
      <c r="C35" s="3"/>
      <c r="D35" s="3"/>
      <c r="E35" s="3"/>
      <c r="F35" s="3"/>
      <c r="G35" s="3"/>
      <c r="H35" s="3"/>
      <c r="I35" s="3"/>
      <c r="L35" s="3"/>
    </row>
    <row r="36" spans="1:12" ht="11.25" customHeight="1" x14ac:dyDescent="0.15">
      <c r="A36" s="9"/>
      <c r="B36" s="10"/>
      <c r="C36" s="11"/>
      <c r="D36" s="99"/>
      <c r="E36" s="8"/>
      <c r="F36" s="8"/>
      <c r="G36" s="8"/>
      <c r="H36" s="8"/>
      <c r="I36" s="8"/>
      <c r="L36" s="10"/>
    </row>
    <row r="37" spans="1:12" ht="11.25" customHeight="1" x14ac:dyDescent="0.15">
      <c r="A37" s="9"/>
      <c r="B37" s="10"/>
      <c r="C37" s="11"/>
      <c r="D37" s="8"/>
      <c r="E37" s="8"/>
      <c r="F37" s="8"/>
      <c r="G37" s="8"/>
      <c r="H37" s="8"/>
      <c r="I37" s="8"/>
      <c r="L37" s="10"/>
    </row>
    <row r="38" spans="1:12" ht="11.25" customHeight="1" x14ac:dyDescent="0.15">
      <c r="A38" s="3"/>
      <c r="B38" s="3"/>
      <c r="G38" s="3"/>
      <c r="H38" s="3"/>
      <c r="I38" s="3"/>
    </row>
    <row r="39" spans="1:12" ht="11.25" customHeight="1" x14ac:dyDescent="0.15">
      <c r="A39" s="3"/>
      <c r="B39" s="3"/>
      <c r="G39" s="3"/>
      <c r="H39" s="3"/>
      <c r="I39" s="3"/>
    </row>
    <row r="40" spans="1:12" x14ac:dyDescent="0.15">
      <c r="A40" s="3"/>
      <c r="B40" s="3"/>
      <c r="F40" s="2"/>
      <c r="G40" s="2"/>
      <c r="H40" s="2"/>
      <c r="I40" s="2"/>
    </row>
    <row r="41" spans="1:12" x14ac:dyDescent="0.15">
      <c r="A41" s="3"/>
      <c r="B41" s="3"/>
      <c r="F41" s="3" t="s">
        <v>10</v>
      </c>
      <c r="G41" s="3"/>
      <c r="H41" s="3"/>
      <c r="I41" s="3" t="s">
        <v>11</v>
      </c>
    </row>
    <row r="42" spans="1:12" x14ac:dyDescent="0.15">
      <c r="A42" s="3"/>
      <c r="B42" s="3"/>
      <c r="C42" s="3"/>
      <c r="D42" s="3"/>
      <c r="E42" s="3"/>
      <c r="F42" s="3"/>
      <c r="G42" s="3"/>
      <c r="H42" s="3"/>
      <c r="I42" s="3"/>
    </row>
    <row r="43" spans="1:12" x14ac:dyDescent="0.15">
      <c r="A43" s="3"/>
      <c r="B43" s="3"/>
      <c r="C43" s="3"/>
      <c r="D43" s="3"/>
      <c r="E43" s="3"/>
      <c r="F43" s="3"/>
      <c r="G43" s="3"/>
      <c r="H43" s="3"/>
      <c r="I43" s="3"/>
    </row>
    <row r="44" spans="1:12" x14ac:dyDescent="0.15">
      <c r="A44" s="3"/>
      <c r="B44" s="3"/>
      <c r="C44" s="3"/>
      <c r="D44" s="3"/>
      <c r="E44" s="3"/>
      <c r="F44" s="3"/>
      <c r="G44" s="3"/>
      <c r="H44" s="3"/>
      <c r="I44" s="3"/>
    </row>
    <row r="45" spans="1:12" x14ac:dyDescent="0.15">
      <c r="A45" s="3"/>
      <c r="B45" s="3"/>
      <c r="C45" s="3"/>
      <c r="D45" s="3"/>
      <c r="E45" s="3"/>
      <c r="F45" s="3"/>
      <c r="G45" s="3"/>
      <c r="H45" s="3"/>
      <c r="I45" s="3"/>
    </row>
    <row r="46" spans="1:12" x14ac:dyDescent="0.15">
      <c r="A46" s="3"/>
      <c r="B46" s="3"/>
      <c r="C46" s="3"/>
      <c r="D46" s="3"/>
      <c r="E46" s="3"/>
      <c r="F46" s="3"/>
      <c r="G46" s="3"/>
      <c r="H46" s="3"/>
      <c r="I46" s="3"/>
    </row>
    <row r="47" spans="1:12" x14ac:dyDescent="0.15">
      <c r="A47" s="3"/>
      <c r="B47" s="3"/>
      <c r="C47" s="3"/>
      <c r="D47" s="3"/>
      <c r="E47" s="3"/>
      <c r="F47" s="3"/>
      <c r="G47" s="3"/>
      <c r="H47" s="3"/>
      <c r="I47" s="3"/>
    </row>
    <row r="48" spans="1:12" ht="13" x14ac:dyDescent="0.15">
      <c r="A48" s="3"/>
      <c r="B48" s="3"/>
      <c r="C48" s="3"/>
      <c r="D48" s="3"/>
      <c r="E48" s="3"/>
      <c r="F48" s="3"/>
      <c r="G48" s="3"/>
      <c r="H48" s="3"/>
      <c r="I48" s="3"/>
      <c r="K48"/>
    </row>
    <row r="49" spans="1:9" x14ac:dyDescent="0.1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1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1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1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1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15">
      <c r="A54" s="3"/>
      <c r="B54" s="3"/>
      <c r="C54" s="3"/>
      <c r="D54" s="3"/>
      <c r="E54" s="3"/>
      <c r="F54" s="3"/>
      <c r="G54" s="3"/>
      <c r="H54" s="3"/>
      <c r="I54" s="3"/>
    </row>
  </sheetData>
  <mergeCells count="2">
    <mergeCell ref="H23:I23"/>
    <mergeCell ref="A25:B25"/>
  </mergeCells>
  <printOptions horizontalCentered="1"/>
  <pageMargins left="0.25" right="0.25" top="0.75" bottom="0.25" header="0.5" footer="0.25"/>
  <pageSetup scale="9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96E-C180-6045-950D-3A3DD7B4C0A6}">
  <sheetPr>
    <tabColor rgb="FFFFFF00"/>
  </sheetPr>
  <dimension ref="A5:C12"/>
  <sheetViews>
    <sheetView zoomScale="238" workbookViewId="0">
      <selection activeCell="B12" sqref="B12:C12"/>
    </sheetView>
  </sheetViews>
  <sheetFormatPr baseColWidth="10" defaultRowHeight="13" x14ac:dyDescent="0.15"/>
  <cols>
    <col min="2" max="2" width="10.83203125" style="88"/>
  </cols>
  <sheetData>
    <row r="5" spans="1:3" x14ac:dyDescent="0.15">
      <c r="A5" t="s">
        <v>79</v>
      </c>
    </row>
    <row r="6" spans="1:3" x14ac:dyDescent="0.15">
      <c r="A6" s="87">
        <v>45931</v>
      </c>
      <c r="B6" s="88">
        <v>27326.730000000003</v>
      </c>
    </row>
    <row r="7" spans="1:3" x14ac:dyDescent="0.15">
      <c r="A7" s="87">
        <v>45962</v>
      </c>
      <c r="B7" s="90">
        <v>31692.33</v>
      </c>
    </row>
    <row r="8" spans="1:3" x14ac:dyDescent="0.15">
      <c r="A8" s="87">
        <v>45992</v>
      </c>
      <c r="C8" s="88">
        <v>35550.75</v>
      </c>
    </row>
    <row r="9" spans="1:3" x14ac:dyDescent="0.15">
      <c r="A9" s="87">
        <v>46023</v>
      </c>
      <c r="C9">
        <v>20739.169999999998</v>
      </c>
    </row>
    <row r="10" spans="1:3" x14ac:dyDescent="0.15">
      <c r="A10" s="87">
        <v>46054</v>
      </c>
    </row>
    <row r="11" spans="1:3" x14ac:dyDescent="0.15">
      <c r="A11" s="87">
        <v>46082</v>
      </c>
    </row>
    <row r="12" spans="1:3" x14ac:dyDescent="0.15">
      <c r="A12" t="s">
        <v>80</v>
      </c>
      <c r="B12" s="88">
        <f>SUM(B5:B11)</f>
        <v>59019.060000000005</v>
      </c>
      <c r="C12" s="88">
        <f>SUM(C5:C11)</f>
        <v>56289.919999999998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B2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137.33203125" customWidth="1"/>
  </cols>
  <sheetData>
    <row r="1" spans="1:2" ht="43.5" customHeight="1" x14ac:dyDescent="0.55000000000000004">
      <c r="A1" s="14" t="s">
        <v>62</v>
      </c>
      <c r="B1" s="13"/>
    </row>
    <row r="2" spans="1:2" ht="59" x14ac:dyDescent="0.55000000000000004">
      <c r="A2" s="14" t="s">
        <v>31</v>
      </c>
      <c r="B2" s="13"/>
    </row>
  </sheetData>
  <pageMargins left="0.7" right="0.7" top="3" bottom="0.75" header="0.3" footer="0.3"/>
  <pageSetup orientation="portrait" r:id="rId1"/>
  <rowBreaks count="1" manualBreakCount="1">
    <brk id="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  <pageSetUpPr fitToPage="1"/>
  </sheetPr>
  <dimension ref="A1:R38"/>
  <sheetViews>
    <sheetView topLeftCell="A13" zoomScale="246" workbookViewId="0">
      <selection activeCell="J23" sqref="J23"/>
    </sheetView>
  </sheetViews>
  <sheetFormatPr baseColWidth="10" defaultColWidth="9.1640625" defaultRowHeight="15" x14ac:dyDescent="0.2"/>
  <cols>
    <col min="1" max="1" width="9.1640625" style="16"/>
    <col min="2" max="2" width="7.6640625" style="16" customWidth="1"/>
    <col min="3" max="3" width="5.5" style="16" customWidth="1"/>
    <col min="4" max="4" width="9.1640625" style="16"/>
    <col min="5" max="5" width="5.1640625" style="16" customWidth="1"/>
    <col min="6" max="6" width="7.1640625" style="16" customWidth="1"/>
    <col min="7" max="7" width="2.5" style="16" customWidth="1"/>
    <col min="8" max="8" width="9.33203125" style="16" customWidth="1"/>
    <col min="9" max="9" width="2.83203125" style="16" customWidth="1"/>
    <col min="10" max="11" width="6.83203125" style="16" customWidth="1"/>
    <col min="12" max="12" width="9" style="16" customWidth="1"/>
    <col min="13" max="13" width="5.6640625" style="16" customWidth="1"/>
    <col min="14" max="14" width="12.83203125" style="16" customWidth="1"/>
    <col min="15" max="15" width="6.6640625" style="16" customWidth="1"/>
    <col min="16" max="16384" width="9.1640625" style="16"/>
  </cols>
  <sheetData>
    <row r="1" spans="1:18" s="15" customFormat="1" ht="22.5" customHeight="1" x14ac:dyDescent="0.2">
      <c r="A1" s="59">
        <f>'Invoice Summary'!B1</f>
        <v>0</v>
      </c>
      <c r="L1" s="16"/>
      <c r="M1" s="16"/>
      <c r="N1" s="16"/>
      <c r="O1" s="16"/>
      <c r="P1" s="16"/>
      <c r="Q1" s="16"/>
      <c r="R1" s="16"/>
    </row>
    <row r="2" spans="1:18" s="15" customFormat="1" ht="12.75" customHeight="1" x14ac:dyDescent="0.2">
      <c r="L2" s="16"/>
      <c r="M2" s="16"/>
      <c r="N2" s="16"/>
      <c r="O2" s="16"/>
      <c r="P2" s="16"/>
      <c r="Q2" s="16"/>
      <c r="R2" s="16"/>
    </row>
    <row r="3" spans="1:18" s="15" customFormat="1" ht="21.75" customHeight="1" x14ac:dyDescent="0.25">
      <c r="M3" s="16"/>
      <c r="N3" s="17" t="s">
        <v>26</v>
      </c>
      <c r="O3" s="16"/>
      <c r="P3" s="16"/>
      <c r="Q3" s="16"/>
      <c r="R3" s="16"/>
    </row>
    <row r="4" spans="1:18" ht="12.75" customHeight="1" x14ac:dyDescent="0.2">
      <c r="H4" s="94"/>
    </row>
    <row r="5" spans="1:18" ht="12" customHeight="1" x14ac:dyDescent="0.2">
      <c r="I5" s="18" t="s">
        <v>54</v>
      </c>
      <c r="J5" s="19"/>
      <c r="K5" s="19"/>
      <c r="L5" s="19"/>
      <c r="M5" s="19"/>
      <c r="N5" s="60" t="str">
        <f>'Invoice Summary'!G12</f>
        <v>SBCAQ0005</v>
      </c>
    </row>
    <row r="6" spans="1:18" ht="12" customHeight="1" x14ac:dyDescent="0.2">
      <c r="I6" s="18" t="s">
        <v>23</v>
      </c>
      <c r="J6" s="19"/>
      <c r="K6" s="19"/>
      <c r="L6" s="20"/>
      <c r="M6" s="21"/>
      <c r="N6" s="86" t="str">
        <f>'Invoice Summary'!G11</f>
        <v>02/23/26</v>
      </c>
    </row>
    <row r="7" spans="1:18" s="18" customFormat="1" ht="12" x14ac:dyDescent="0.1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8" s="18" customFormat="1" ht="18" customHeight="1" x14ac:dyDescent="0.15">
      <c r="A8" s="23" t="s">
        <v>27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8" s="18" customFormat="1" ht="13" x14ac:dyDescent="0.1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8" s="18" customFormat="1" ht="13" x14ac:dyDescent="0.15">
      <c r="A10" s="85" t="str">
        <f>'Invoice Summary'!B27</f>
        <v>CONSENT ORDER AND PERMIT COMPLIANCE TECHNICAL SUPPORT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18" s="18" customFormat="1" ht="13" x14ac:dyDescent="0.15">
      <c r="A11" s="97" t="s">
        <v>96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30"/>
      <c r="N11" s="29"/>
    </row>
    <row r="12" spans="1:18" s="18" customFormat="1" ht="12.75" customHeight="1" x14ac:dyDescent="0.15">
      <c r="A12" s="23" t="s">
        <v>30</v>
      </c>
      <c r="B12" s="28"/>
      <c r="C12" s="28"/>
      <c r="D12" s="28" t="s">
        <v>11</v>
      </c>
      <c r="E12" s="28"/>
      <c r="F12" s="28"/>
      <c r="G12" s="28"/>
      <c r="H12" s="52" t="s">
        <v>28</v>
      </c>
      <c r="I12" s="28"/>
      <c r="J12" s="28"/>
      <c r="K12" s="28"/>
      <c r="L12" s="52" t="s">
        <v>43</v>
      </c>
      <c r="M12" s="28"/>
      <c r="N12" s="52" t="s">
        <v>24</v>
      </c>
    </row>
    <row r="13" spans="1:18" s="18" customFormat="1" ht="11" x14ac:dyDescent="0.15">
      <c r="A13" s="18" t="s">
        <v>64</v>
      </c>
      <c r="H13" s="31"/>
      <c r="I13" s="31"/>
      <c r="J13" s="31"/>
      <c r="K13" s="31"/>
      <c r="L13" s="31"/>
      <c r="M13" s="31"/>
      <c r="N13" s="32"/>
    </row>
    <row r="14" spans="1:18" s="18" customFormat="1" ht="11" x14ac:dyDescent="0.15">
      <c r="A14" s="18" t="s">
        <v>66</v>
      </c>
      <c r="B14" s="18" t="s">
        <v>67</v>
      </c>
      <c r="D14" s="18" t="s">
        <v>76</v>
      </c>
      <c r="H14" s="31">
        <v>0</v>
      </c>
      <c r="I14" s="31"/>
      <c r="J14" s="31"/>
      <c r="K14" s="31"/>
      <c r="L14" s="31">
        <v>52.26</v>
      </c>
      <c r="M14" s="31"/>
      <c r="N14" s="32">
        <f t="shared" ref="N14:N17" si="0">ROUND(H14*L14,2)</f>
        <v>0</v>
      </c>
    </row>
    <row r="15" spans="1:18" s="18" customFormat="1" ht="11" x14ac:dyDescent="0.15">
      <c r="A15" s="18" t="s">
        <v>81</v>
      </c>
      <c r="B15" s="18" t="s">
        <v>82</v>
      </c>
      <c r="D15" s="18" t="s">
        <v>83</v>
      </c>
      <c r="H15" s="31">
        <v>0</v>
      </c>
      <c r="I15" s="31"/>
      <c r="J15" s="31"/>
      <c r="K15" s="31"/>
      <c r="L15" s="31">
        <v>51.64</v>
      </c>
      <c r="M15" s="31"/>
      <c r="N15" s="32">
        <f t="shared" si="0"/>
        <v>0</v>
      </c>
    </row>
    <row r="16" spans="1:18" s="18" customFormat="1" ht="11" x14ac:dyDescent="0.15">
      <c r="A16" s="18" t="s">
        <v>89</v>
      </c>
      <c r="B16" s="18" t="s">
        <v>90</v>
      </c>
      <c r="D16" s="18" t="s">
        <v>91</v>
      </c>
      <c r="H16" s="31">
        <v>16</v>
      </c>
      <c r="I16" s="31"/>
      <c r="J16" s="31"/>
      <c r="K16" s="31"/>
      <c r="L16" s="31">
        <v>75</v>
      </c>
      <c r="M16" s="31"/>
      <c r="N16" s="32">
        <f t="shared" si="0"/>
        <v>1200</v>
      </c>
    </row>
    <row r="17" spans="1:14" s="18" customFormat="1" ht="11" x14ac:dyDescent="0.15">
      <c r="A17" s="18" t="s">
        <v>68</v>
      </c>
      <c r="B17" s="18" t="s">
        <v>69</v>
      </c>
      <c r="D17" s="18" t="s">
        <v>77</v>
      </c>
      <c r="G17" s="33"/>
      <c r="H17" s="34">
        <v>10</v>
      </c>
      <c r="I17" s="34"/>
      <c r="J17" s="34"/>
      <c r="K17" s="34"/>
      <c r="L17" s="34">
        <v>61.5</v>
      </c>
      <c r="M17" s="34"/>
      <c r="N17" s="35">
        <f t="shared" si="0"/>
        <v>615</v>
      </c>
    </row>
    <row r="18" spans="1:14" s="18" customFormat="1" ht="11" x14ac:dyDescent="0.15">
      <c r="H18" s="31">
        <f>SUM(H13:H17)</f>
        <v>26</v>
      </c>
      <c r="I18" s="31"/>
      <c r="J18" s="31"/>
      <c r="K18" s="31"/>
      <c r="L18" s="31"/>
      <c r="M18" s="31"/>
      <c r="N18" s="36">
        <f>SUM(N13:N17)</f>
        <v>1815</v>
      </c>
    </row>
    <row r="19" spans="1:14" s="18" customFormat="1" ht="11" x14ac:dyDescent="0.15">
      <c r="H19" s="31"/>
      <c r="I19" s="31"/>
      <c r="J19" s="31"/>
      <c r="K19" s="44"/>
      <c r="L19" s="45" t="s">
        <v>65</v>
      </c>
      <c r="M19" s="44"/>
      <c r="N19" s="37">
        <f>ROUND(N18*1.14,2)</f>
        <v>2069.1</v>
      </c>
    </row>
    <row r="20" spans="1:14" s="18" customFormat="1" ht="12" x14ac:dyDescent="0.15">
      <c r="A20" s="22"/>
      <c r="B20" s="22"/>
      <c r="C20" s="22"/>
      <c r="G20" s="33"/>
      <c r="H20" s="34"/>
      <c r="I20" s="34"/>
      <c r="J20" s="38"/>
      <c r="K20" s="46"/>
      <c r="L20" s="47" t="s">
        <v>48</v>
      </c>
      <c r="M20" s="46"/>
      <c r="N20" s="39">
        <f>ROUND((N18+N19)*0.1,2)</f>
        <v>388.41</v>
      </c>
    </row>
    <row r="21" spans="1:14" s="18" customFormat="1" ht="12" customHeight="1" x14ac:dyDescent="0.15">
      <c r="B21" s="22"/>
      <c r="C21" s="22"/>
      <c r="G21" s="33"/>
      <c r="H21" s="48"/>
      <c r="I21" s="48"/>
      <c r="J21" s="41" t="s">
        <v>39</v>
      </c>
      <c r="K21" s="34"/>
      <c r="L21" s="34"/>
      <c r="M21" s="34"/>
      <c r="N21" s="40">
        <f>SUM(N18:N20)</f>
        <v>4272.51</v>
      </c>
    </row>
    <row r="22" spans="1:14" s="18" customFormat="1" ht="12.75" customHeight="1" x14ac:dyDescent="0.15">
      <c r="A22" s="23" t="s">
        <v>30</v>
      </c>
      <c r="B22" s="28"/>
      <c r="C22" s="28"/>
      <c r="D22" s="28" t="s">
        <v>11</v>
      </c>
      <c r="E22" s="28"/>
      <c r="F22" s="28"/>
      <c r="G22" s="28"/>
      <c r="H22" s="52" t="s">
        <v>28</v>
      </c>
      <c r="I22" s="28"/>
      <c r="J22" s="28"/>
      <c r="K22" s="28"/>
      <c r="L22" s="28" t="s">
        <v>29</v>
      </c>
      <c r="M22" s="28"/>
      <c r="N22" s="52" t="s">
        <v>24</v>
      </c>
    </row>
    <row r="23" spans="1:14" s="18" customFormat="1" ht="11" x14ac:dyDescent="0.15">
      <c r="A23" s="18" t="s">
        <v>70</v>
      </c>
      <c r="B23" s="18" t="s">
        <v>71</v>
      </c>
      <c r="D23" s="18" t="s">
        <v>78</v>
      </c>
      <c r="H23" s="31">
        <v>38</v>
      </c>
      <c r="I23" s="31"/>
      <c r="J23" s="31"/>
      <c r="K23" s="31"/>
      <c r="L23" s="31">
        <v>97.5</v>
      </c>
      <c r="M23" s="31"/>
      <c r="N23" s="32">
        <f t="shared" ref="N23:N24" si="1">ROUND(H23*L23,2)</f>
        <v>3705</v>
      </c>
    </row>
    <row r="24" spans="1:14" s="18" customFormat="1" ht="11" x14ac:dyDescent="0.15">
      <c r="G24" s="33"/>
      <c r="H24" s="34"/>
      <c r="I24" s="34"/>
      <c r="J24" s="34"/>
      <c r="K24" s="34"/>
      <c r="L24" s="34"/>
      <c r="M24" s="34"/>
      <c r="N24" s="35">
        <f t="shared" si="1"/>
        <v>0</v>
      </c>
    </row>
    <row r="25" spans="1:14" s="18" customFormat="1" ht="11" x14ac:dyDescent="0.15">
      <c r="H25" s="31">
        <f>SUM(H23:H24)</f>
        <v>38</v>
      </c>
      <c r="I25" s="31"/>
      <c r="J25" s="31"/>
      <c r="K25" s="31"/>
      <c r="L25" s="31"/>
      <c r="M25" s="31"/>
      <c r="N25" s="36">
        <f>SUM(N23:N24)</f>
        <v>3705</v>
      </c>
    </row>
    <row r="26" spans="1:14" s="18" customFormat="1" ht="11" x14ac:dyDescent="0.15">
      <c r="H26" s="31"/>
      <c r="I26" s="31"/>
      <c r="J26" s="31"/>
      <c r="K26" s="44"/>
      <c r="L26" s="45" t="s">
        <v>65</v>
      </c>
      <c r="M26" s="44"/>
      <c r="N26" s="37">
        <f>ROUND(N25*1.14,2)</f>
        <v>4223.7</v>
      </c>
    </row>
    <row r="27" spans="1:14" s="18" customFormat="1" ht="12" hidden="1" x14ac:dyDescent="0.15">
      <c r="A27" s="22"/>
      <c r="B27" s="22"/>
      <c r="C27" s="22"/>
      <c r="G27" s="33"/>
      <c r="H27" s="34"/>
      <c r="I27" s="34"/>
      <c r="J27" s="38"/>
      <c r="K27" s="46"/>
      <c r="L27" s="47" t="s">
        <v>35</v>
      </c>
      <c r="M27" s="46"/>
      <c r="N27" s="39">
        <f>ROUND((N25+N26)*0,2)</f>
        <v>0</v>
      </c>
    </row>
    <row r="28" spans="1:14" s="18" customFormat="1" ht="12" customHeight="1" x14ac:dyDescent="0.15">
      <c r="B28" s="22"/>
      <c r="C28" s="22"/>
      <c r="G28" s="42"/>
      <c r="H28" s="48"/>
      <c r="I28" s="48"/>
      <c r="J28" s="41" t="s">
        <v>39</v>
      </c>
      <c r="K28" s="48"/>
      <c r="L28" s="48"/>
      <c r="M28" s="48"/>
      <c r="N28" s="43">
        <f>SUM(N25:N27)</f>
        <v>7928.7</v>
      </c>
    </row>
    <row r="29" spans="1:14" s="18" customFormat="1" ht="12" customHeight="1" x14ac:dyDescent="0.15">
      <c r="B29" s="22"/>
      <c r="C29" s="22"/>
      <c r="H29" s="31"/>
      <c r="I29" s="31"/>
      <c r="J29" s="21"/>
      <c r="K29" s="31"/>
      <c r="L29" s="31"/>
      <c r="M29" s="31"/>
      <c r="N29" s="51"/>
    </row>
    <row r="30" spans="1:14" s="18" customFormat="1" ht="12" customHeight="1" x14ac:dyDescent="0.15">
      <c r="A30" s="56"/>
      <c r="B30" s="57"/>
      <c r="C30" s="57"/>
      <c r="D30" s="57"/>
      <c r="E30" s="57"/>
      <c r="F30" s="57"/>
      <c r="G30" s="53"/>
      <c r="H30" s="54"/>
      <c r="I30" s="55"/>
      <c r="J30" s="41" t="s">
        <v>49</v>
      </c>
      <c r="K30" s="55"/>
      <c r="L30" s="55"/>
      <c r="M30" s="55"/>
      <c r="N30" s="58">
        <f>N28+N21</f>
        <v>12201.21</v>
      </c>
    </row>
    <row r="31" spans="1:14" s="18" customFormat="1" ht="12" customHeight="1" x14ac:dyDescent="0.15">
      <c r="B31" s="22"/>
      <c r="C31" s="22"/>
      <c r="H31" s="31"/>
      <c r="I31" s="31"/>
      <c r="J31" s="21"/>
      <c r="K31" s="31"/>
      <c r="L31" s="31"/>
      <c r="M31" s="31"/>
      <c r="N31" s="51"/>
    </row>
    <row r="32" spans="1:14" s="18" customFormat="1" ht="12.75" customHeight="1" x14ac:dyDescent="0.15">
      <c r="A32" s="23" t="s">
        <v>41</v>
      </c>
      <c r="B32" s="28"/>
      <c r="C32" s="28"/>
      <c r="D32" s="28"/>
      <c r="E32" s="28"/>
      <c r="F32" s="28"/>
      <c r="G32" s="28"/>
      <c r="H32" s="52"/>
      <c r="I32" s="28"/>
      <c r="J32" s="28"/>
      <c r="K32" s="28"/>
      <c r="L32" s="28"/>
      <c r="M32" s="28"/>
      <c r="N32" s="52"/>
    </row>
    <row r="33" spans="1:14" s="18" customFormat="1" ht="12" customHeight="1" x14ac:dyDescent="0.15">
      <c r="B33" s="22"/>
      <c r="C33" s="22"/>
      <c r="H33" s="31"/>
      <c r="I33" s="31"/>
      <c r="J33" s="21"/>
      <c r="K33" s="31"/>
      <c r="L33" s="31"/>
      <c r="M33" s="31"/>
      <c r="N33" s="51"/>
    </row>
    <row r="34" spans="1:14" s="18" customFormat="1" ht="12" customHeight="1" x14ac:dyDescent="0.15">
      <c r="B34" s="22"/>
      <c r="C34" s="22"/>
      <c r="H34" s="31"/>
      <c r="I34" s="31"/>
      <c r="J34" s="21"/>
      <c r="K34" s="31"/>
      <c r="L34" s="31"/>
      <c r="M34" s="31"/>
      <c r="N34" s="51"/>
    </row>
    <row r="35" spans="1:14" s="18" customFormat="1" ht="12" customHeight="1" x14ac:dyDescent="0.15">
      <c r="B35" s="22"/>
      <c r="C35" s="22"/>
      <c r="G35" s="42"/>
      <c r="H35" s="48"/>
      <c r="I35" s="48"/>
      <c r="J35" s="41" t="s">
        <v>42</v>
      </c>
      <c r="K35" s="48"/>
      <c r="L35" s="48"/>
      <c r="M35" s="48"/>
      <c r="N35" s="43">
        <f>SUM(N33:N34)</f>
        <v>0</v>
      </c>
    </row>
    <row r="36" spans="1:14" s="18" customFormat="1" ht="12" customHeight="1" x14ac:dyDescent="0.15">
      <c r="B36" s="22"/>
      <c r="C36" s="22"/>
      <c r="H36" s="31"/>
      <c r="I36" s="31"/>
      <c r="J36" s="21"/>
      <c r="K36" s="31"/>
      <c r="L36" s="31"/>
      <c r="M36" s="31"/>
      <c r="N36" s="51"/>
    </row>
    <row r="37" spans="1:14" s="27" customFormat="1" ht="14" x14ac:dyDescent="0.15">
      <c r="A37" s="18"/>
      <c r="B37" s="22"/>
      <c r="C37" s="22"/>
      <c r="D37" s="18"/>
      <c r="E37" s="18"/>
      <c r="F37" s="18"/>
      <c r="G37" s="18"/>
      <c r="H37" s="31"/>
      <c r="I37" s="31"/>
      <c r="J37" s="21"/>
      <c r="K37" s="31"/>
      <c r="L37" s="31"/>
      <c r="M37" s="31"/>
      <c r="N37" s="51"/>
    </row>
    <row r="38" spans="1:14" s="27" customFormat="1" ht="14" x14ac:dyDescent="0.15">
      <c r="A38" s="56"/>
      <c r="B38" s="57"/>
      <c r="C38" s="57"/>
      <c r="D38" s="57"/>
      <c r="E38" s="57"/>
      <c r="F38" s="57"/>
      <c r="G38" s="42"/>
      <c r="H38" s="48"/>
      <c r="I38" s="48"/>
      <c r="J38" s="62" t="s">
        <v>92</v>
      </c>
      <c r="K38" s="63"/>
      <c r="L38" s="63"/>
      <c r="M38" s="63"/>
      <c r="N38" s="64">
        <f>N35+N30</f>
        <v>12201.21</v>
      </c>
    </row>
  </sheetData>
  <mergeCells count="1">
    <mergeCell ref="A11:L11"/>
  </mergeCells>
  <pageMargins left="0.34" right="0.33" top="0.25" bottom="0.5" header="0.05" footer="0.05"/>
  <pageSetup scale="9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B050"/>
  </sheetPr>
  <dimension ref="B8"/>
  <sheetViews>
    <sheetView workbookViewId="0">
      <selection activeCell="B4" sqref="B4"/>
    </sheetView>
  </sheetViews>
  <sheetFormatPr baseColWidth="10" defaultColWidth="8.83203125" defaultRowHeight="13" x14ac:dyDescent="0.15"/>
  <sheetData>
    <row r="8" spans="2:2" ht="18" x14ac:dyDescent="0.2">
      <c r="B8" s="49" t="s">
        <v>75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A2AE-668B-584D-949D-469DB0A8357C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Sub Agreement Cover Page</vt:lpstr>
      <vt:lpstr>Invoicing Instructions</vt:lpstr>
      <vt:lpstr>Invoice Summary</vt:lpstr>
      <vt:lpstr>Prior</vt:lpstr>
      <vt:lpstr>Supporting Docs Cover Page</vt:lpstr>
      <vt:lpstr>Invoice Template_Task# 5</vt:lpstr>
      <vt:lpstr>Timesheet Backup</vt:lpstr>
      <vt:lpstr>Sheet2</vt:lpstr>
      <vt:lpstr>'Invoice Summary'!Print_Area</vt:lpstr>
      <vt:lpstr>'Invoice Template_Task# 5'!Print_Area</vt:lpstr>
    </vt:vector>
  </TitlesOfParts>
  <Company>HDR,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jfilion</dc:creator>
  <cp:lastModifiedBy>Ailsa Gilliam</cp:lastModifiedBy>
  <cp:lastPrinted>2026-02-12T22:50:22Z</cp:lastPrinted>
  <dcterms:created xsi:type="dcterms:W3CDTF">2012-07-10T14:09:39Z</dcterms:created>
  <dcterms:modified xsi:type="dcterms:W3CDTF">2026-02-23T19:28:46Z</dcterms:modified>
</cp:coreProperties>
</file>